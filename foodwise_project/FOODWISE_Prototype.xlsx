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FP Raw Prices" sheetId="1" r:id="rId1"/>
    <sheet name="Market Price Snapshot" sheetId="2" state="hidden" r:id="rId2"/>
    <sheet name="Healthy Basket" sheetId="3" r:id="rId3"/>
    <sheet name="Household Simulator" sheetId="4" r:id="rId4"/>
    <sheet name="Dashboard &amp; Charts" sheetId="5" r:id="rId5"/>
    <sheet name="Read Me &amp; Notes" sheetId="6" r:id="rId6"/>
  </sheets>
  <calcPr calcId="124519" fullCalcOnLoad="1"/>
</workbook>
</file>

<file path=xl/sharedStrings.xml><?xml version="1.0" encoding="utf-8"?>
<sst xmlns="http://schemas.openxmlformats.org/spreadsheetml/2006/main" count="15551" uniqueCount="249">
  <si>
    <t>Date</t>
  </si>
  <si>
    <t>Admin 1</t>
  </si>
  <si>
    <t>Admin 2</t>
  </si>
  <si>
    <t>Market</t>
  </si>
  <si>
    <t>Commodity</t>
  </si>
  <si>
    <t>Unit</t>
  </si>
  <si>
    <t>Price (KES)</t>
  </si>
  <si>
    <t>Price Type</t>
  </si>
  <si>
    <t>Price Flag</t>
  </si>
  <si>
    <t>Currency</t>
  </si>
  <si>
    <t>Source</t>
  </si>
  <si>
    <t>Eastern</t>
  </si>
  <si>
    <t>Makueni</t>
  </si>
  <si>
    <t>Kathonzweni (Makueni)</t>
  </si>
  <si>
    <t>Kale</t>
  </si>
  <si>
    <t>50 KG</t>
  </si>
  <si>
    <t>Wholesale</t>
  </si>
  <si>
    <t>actual</t>
  </si>
  <si>
    <t>KES</t>
  </si>
  <si>
    <t>WFP / HDX</t>
  </si>
  <si>
    <t>Nairobi</t>
  </si>
  <si>
    <t>Wakulima (Nairobi)</t>
  </si>
  <si>
    <t>Coast</t>
  </si>
  <si>
    <t>Kilifi</t>
  </si>
  <si>
    <t>Dzikunze</t>
  </si>
  <si>
    <t>Sugar</t>
  </si>
  <si>
    <t>KG</t>
  </si>
  <si>
    <t>Retail</t>
  </si>
  <si>
    <t>Kachororoni</t>
  </si>
  <si>
    <t>Kaembeni</t>
  </si>
  <si>
    <t>Tana River</t>
  </si>
  <si>
    <t>Bangale</t>
  </si>
  <si>
    <t>Bilbil</t>
  </si>
  <si>
    <t>Boka</t>
  </si>
  <si>
    <t>Bura</t>
  </si>
  <si>
    <t>Charidende</t>
  </si>
  <si>
    <t>Garsen</t>
  </si>
  <si>
    <t>Hola town</t>
  </si>
  <si>
    <t>Kipini</t>
  </si>
  <si>
    <t>Makere</t>
  </si>
  <si>
    <t>Saka Town</t>
  </si>
  <si>
    <t>Tarasaa</t>
  </si>
  <si>
    <t>Wayu</t>
  </si>
  <si>
    <t>Isiolo</t>
  </si>
  <si>
    <t>Benane</t>
  </si>
  <si>
    <t>Boji</t>
  </si>
  <si>
    <t>Bulesa Bulesa</t>
  </si>
  <si>
    <t>Garbatulla</t>
  </si>
  <si>
    <t>Kipsing CENTER</t>
  </si>
  <si>
    <t>Malkadaka</t>
  </si>
  <si>
    <t>Merti CENTER</t>
  </si>
  <si>
    <t>Modogashe</t>
  </si>
  <si>
    <t>Oldonyiro</t>
  </si>
  <si>
    <t>Sericho Center</t>
  </si>
  <si>
    <t>Marsabit</t>
  </si>
  <si>
    <t>Kargi</t>
  </si>
  <si>
    <t>Korr</t>
  </si>
  <si>
    <t>Laisamis Town</t>
  </si>
  <si>
    <t>Loyangalani</t>
  </si>
  <si>
    <t>Meru North</t>
  </si>
  <si>
    <t>Ngaremara</t>
  </si>
  <si>
    <t>Moyale</t>
  </si>
  <si>
    <t>Sololo</t>
  </si>
  <si>
    <t>North Eastern</t>
  </si>
  <si>
    <t>Garissa</t>
  </si>
  <si>
    <t>Alango Arba</t>
  </si>
  <si>
    <t>Alinjugur</t>
  </si>
  <si>
    <t>Dadaab town</t>
  </si>
  <si>
    <t>Dagahaley (Daadab)</t>
  </si>
  <si>
    <t>Damajale</t>
  </si>
  <si>
    <t>Dertu</t>
  </si>
  <si>
    <t>Hagadera (Daadab)</t>
  </si>
  <si>
    <t>IFO (Daadab)</t>
  </si>
  <si>
    <t>Jarajara</t>
  </si>
  <si>
    <t>Korakora</t>
  </si>
  <si>
    <t>Maalamin</t>
  </si>
  <si>
    <t>Nanigi</t>
  </si>
  <si>
    <t>Saretho</t>
  </si>
  <si>
    <t>Shanta Abak</t>
  </si>
  <si>
    <t>Mandera</t>
  </si>
  <si>
    <t>Suq Jini</t>
  </si>
  <si>
    <t>Wajir</t>
  </si>
  <si>
    <t>Bute</t>
  </si>
  <si>
    <t>Eldas</t>
  </si>
  <si>
    <t>Griftu</t>
  </si>
  <si>
    <t>Habaswein</t>
  </si>
  <si>
    <t>Hadado</t>
  </si>
  <si>
    <t>Nyanza</t>
  </si>
  <si>
    <t>Kisumu</t>
  </si>
  <si>
    <t>Kibuye (Kisumu)</t>
  </si>
  <si>
    <t>Rift Valley</t>
  </si>
  <si>
    <t>Baringo</t>
  </si>
  <si>
    <t>Lororo Centre</t>
  </si>
  <si>
    <t>Samburu</t>
  </si>
  <si>
    <t>Baragoi</t>
  </si>
  <si>
    <t>Kisima</t>
  </si>
  <si>
    <t>Lodungokwe</t>
  </si>
  <si>
    <t>Lolkuniyani</t>
  </si>
  <si>
    <t>Lpus</t>
  </si>
  <si>
    <t>Maralal</t>
  </si>
  <si>
    <t>Ngurunit</t>
  </si>
  <si>
    <t>Suguta</t>
  </si>
  <si>
    <t>Tuum</t>
  </si>
  <si>
    <t>Wamba</t>
  </si>
  <si>
    <t>Turkana</t>
  </si>
  <si>
    <t>Aposta</t>
  </si>
  <si>
    <t>Elelea</t>
  </si>
  <si>
    <t>Eliye Centre</t>
  </si>
  <si>
    <t>Ethiopia (Kakuma)</t>
  </si>
  <si>
    <t>HongKong (Kakuma)</t>
  </si>
  <si>
    <t>Kaeris</t>
  </si>
  <si>
    <t>Kaikor</t>
  </si>
  <si>
    <t>Kakuma 2</t>
  </si>
  <si>
    <t>Kakuma 3</t>
  </si>
  <si>
    <t>Kakuma 4</t>
  </si>
  <si>
    <t>Kalemgorok</t>
  </si>
  <si>
    <t>Kalemunyang</t>
  </si>
  <si>
    <t>Kaleng</t>
  </si>
  <si>
    <t>Kalobeyei (Village 1)</t>
  </si>
  <si>
    <t>Kalobeyei (Village 2)</t>
  </si>
  <si>
    <t>Kalobeyei (Village 3)</t>
  </si>
  <si>
    <t>Kalokol</t>
  </si>
  <si>
    <t>Kataboi</t>
  </si>
  <si>
    <t>Katilia</t>
  </si>
  <si>
    <t>Kokuro</t>
  </si>
  <si>
    <t>Letea</t>
  </si>
  <si>
    <t>Lokangae</t>
  </si>
  <si>
    <t>Lokapel</t>
  </si>
  <si>
    <t>Lokichar (Turkana)</t>
  </si>
  <si>
    <t>Lokichoggio</t>
  </si>
  <si>
    <t>Lokipoto</t>
  </si>
  <si>
    <t>Lokiriama</t>
  </si>
  <si>
    <t>Lokitaung</t>
  </si>
  <si>
    <t>Lokori</t>
  </si>
  <si>
    <t>Lokwii</t>
  </si>
  <si>
    <t>Lolupe</t>
  </si>
  <si>
    <t>Lopur</t>
  </si>
  <si>
    <t>Lorugum</t>
  </si>
  <si>
    <t>Lotubae</t>
  </si>
  <si>
    <t>Loturerei</t>
  </si>
  <si>
    <t>Lowarengak</t>
  </si>
  <si>
    <t>Morulem</t>
  </si>
  <si>
    <t>Naakalei</t>
  </si>
  <si>
    <t>Naduat</t>
  </si>
  <si>
    <t>Nakinomet</t>
  </si>
  <si>
    <t>Nakukulas</t>
  </si>
  <si>
    <t>Napak</t>
  </si>
  <si>
    <t>Turkwel Centre</t>
  </si>
  <si>
    <t>Uasin Gishu</t>
  </si>
  <si>
    <t>Eldoret town (Uasin Gishu)</t>
  </si>
  <si>
    <t>Matanomanne</t>
  </si>
  <si>
    <t>Minjila</t>
  </si>
  <si>
    <t>North Horr</t>
  </si>
  <si>
    <t>Moyale town</t>
  </si>
  <si>
    <t>Banissa</t>
  </si>
  <si>
    <t>Kiliwaheri</t>
  </si>
  <si>
    <t>Tarbaj</t>
  </si>
  <si>
    <t>Mogadishu (Kakuma)</t>
  </si>
  <si>
    <t>Mandera town</t>
  </si>
  <si>
    <t>Rhamu</t>
  </si>
  <si>
    <t>Kangemi (Nairobi)</t>
  </si>
  <si>
    <t>Loosuk</t>
  </si>
  <si>
    <t>Kibish</t>
  </si>
  <si>
    <t>Masalani</t>
  </si>
  <si>
    <t>Isiolo town</t>
  </si>
  <si>
    <t>El Wak</t>
  </si>
  <si>
    <t>Takaba (Mandera)</t>
  </si>
  <si>
    <t>Wargadud</t>
  </si>
  <si>
    <t>Kakuma town</t>
  </si>
  <si>
    <t>Lodwar town</t>
  </si>
  <si>
    <t>Kargi South Horr</t>
  </si>
  <si>
    <t>Kiwanja</t>
  </si>
  <si>
    <t>Dambala Fachana</t>
  </si>
  <si>
    <t>Baraki</t>
  </si>
  <si>
    <t>Ijara</t>
  </si>
  <si>
    <t>Kotile</t>
  </si>
  <si>
    <t>Archers Post</t>
  </si>
  <si>
    <t>Kang'akipur</t>
  </si>
  <si>
    <t>Kasuroi</t>
  </si>
  <si>
    <t>actual,aggregate</t>
  </si>
  <si>
    <t>Maize flour</t>
  </si>
  <si>
    <t>aggregate</t>
  </si>
  <si>
    <t>Potatoes (Irish)</t>
  </si>
  <si>
    <t>Rice</t>
  </si>
  <si>
    <t>Oil (vegetable)</t>
  </si>
  <si>
    <t>L</t>
  </si>
  <si>
    <t>Beans (dry)</t>
  </si>
  <si>
    <t>Milk (cow, fresh)</t>
  </si>
  <si>
    <t>Lookup Key</t>
  </si>
  <si>
    <t>Latest Price</t>
  </si>
  <si>
    <t>Observation Date</t>
  </si>
  <si>
    <t>IFO (Daadab)|Maize flour</t>
  </si>
  <si>
    <t>IFO (Daadab)|Beans (dry)</t>
  </si>
  <si>
    <t>IFO (Daadab)|Kale</t>
  </si>
  <si>
    <t>IFO (Daadab)|Milk (cow, fresh)</t>
  </si>
  <si>
    <t>IFO (Daadab)|Oil (vegetable)</t>
  </si>
  <si>
    <t>IFO (Daadab)|Potatoes (Irish)</t>
  </si>
  <si>
    <t>IFO (Daadab)|Rice</t>
  </si>
  <si>
    <t>IFO (Daadab)|Sugar</t>
  </si>
  <si>
    <t>Kakuma 2|Maize flour</t>
  </si>
  <si>
    <t>Kakuma 2|Beans (dry)</t>
  </si>
  <si>
    <t>Kakuma 2|Kale</t>
  </si>
  <si>
    <t>Kakuma 2|Oil (vegetable)</t>
  </si>
  <si>
    <t>Kakuma 2|Potatoes (Irish)</t>
  </si>
  <si>
    <t>Kakuma 2|Rice</t>
  </si>
  <si>
    <t>Kakuma 2|Sugar</t>
  </si>
  <si>
    <t>FOODWISE | Healthy Basket Calculator</t>
  </si>
  <si>
    <t>Editable scenario only — quantities are illustrative, not an FAO or clinical diet prescription.</t>
  </si>
  <si>
    <t>Selected market</t>
  </si>
  <si>
    <t>Yellow cells are editable. Prices/units/dates come from the latest matching WFP record in the selected market.</t>
  </si>
  <si>
    <t>Food item</t>
  </si>
  <si>
    <t>Quantity / person / week</t>
  </si>
  <si>
    <t>Recorded unit</t>
  </si>
  <si>
    <t>Unit price (KES)</t>
  </si>
  <si>
    <t>Weekly cost (KES)</t>
  </si>
  <si>
    <t>Latest observation</t>
  </si>
  <si>
    <t>Weekly total for priced foods</t>
  </si>
  <si>
    <t>Price coverage</t>
  </si>
  <si>
    <t>Interpretation: the total is the sum of only the listed foods with available prices. The chosen weekly quantities are demonstration assumptions. Confirm comparable units, quality, prices and a nutritionist-approved basket before presenting this as a diet cost.</t>
  </si>
  <si>
    <t>FOODWISE | Household Pressure Simulator</t>
  </si>
  <si>
    <t>Uses the currently selected market and only the foods with recorded prices.</t>
  </si>
  <si>
    <t>Household size (people)</t>
  </si>
  <si>
    <t>Monthly household income (KES)</t>
  </si>
  <si>
    <t>Priced foods available</t>
  </si>
  <si>
    <t>Weekly cost per person (priced foods)</t>
  </si>
  <si>
    <t>Monthly cost per person (KES)</t>
  </si>
  <si>
    <t>Monthly household cost (KES)</t>
  </si>
  <si>
    <t>Income share for priced foods</t>
  </si>
  <si>
    <t>Affordability score (0-100)</t>
  </si>
  <si>
    <t>Pressure signal</t>
  </si>
  <si>
    <t>Data coverage warning</t>
  </si>
  <si>
    <t>Score definition: max(0, 100 − income share in percentage points). The 50%/60% warning thresholds and score are prototype signals, not validated poverty, nutrition or clinical thresholds. A partial basket can only understate pressure.</t>
  </si>
  <si>
    <t>FOODWISE | Kenya Food Price Intelligence</t>
  </si>
  <si>
    <t>Monthly median of reported WFP market observations; exact commodity and most common unit shown. Not county-weighted and not a KNBS CPI series.</t>
  </si>
  <si>
    <t>Selected records: 1,689 from 2024-10-01 to 2026-09-15; 139 distinct markets.</t>
  </si>
  <si>
    <t>Month</t>
  </si>
  <si>
    <t>Median KES</t>
  </si>
  <si>
    <t>Market observations</t>
  </si>
  <si>
    <t>FOODWISE | Read Me &amp; Data Notes</t>
  </si>
  <si>
    <t>Data and freshness</t>
  </si>
  <si>
    <t>Official WFP Kenya food-price file downloaded from HDX on 8 October 2026. The full source file contains 27,897 rows through 2026-09-15; the workbook's raw tab contains 1,689 selected food observations from October 2024 onward. Latest file metadata update reported by HDX: 4 October 2026.</t>
  </si>
  <si>
    <t>WFP Kenya Food Prices (HDX)</t>
  </si>
  <si>
    <t>KNBS September 2026 CPI release</t>
  </si>
  <si>
    <t>Use these supplied benchmarks carefully</t>
  </si>
  <si>
    <t>Brief-supplied figures: 43.5–43.9 million people (about 76–77%) unable to afford a healthy diet; estimated daily healthy-diet cost KSh 189–582 depending on method; September 2026 food and non-alcoholic beverages inflation 9.5% (verified on the KNBS release page). The million/percentage and cost range need their precise FAO edition, year, geographic definition and method attached before external publication.</t>
  </si>
  <si>
    <t>Important limits</t>
  </si>
  <si>
    <t>WFP observations are not a nationally representative retail panel; markets and dates vary. The most recent multi-item records in this extract include IFO (Daadab) and Kakuma 2; these are camp markets, not a proxy for Nairobi or Nyeri households. The market dropdown intentionally shows only markets with multiple recent target-item records. Units are kept as published, prices may be missing/stale, and the simulator flags incomplete coverage. Food quantities are editable demo inputs, not a recommended healthy diet. The score and 50%/60% flags are concept-stage indicators, not validated policy thresholds. Diet-gap module requires an agreed healthy-diet basket and nutrient data.</t>
  </si>
  <si>
    <t>Formula conventions</t>
  </si>
  <si>
    <t>Monthly cost = weekly basket cost × 4.345 weeks/month × household size. Income share = monthly household cost ÷ monthly household income. Affordability score = max(0, 100 − income share in percentage points). If one or more prices are missing, totals include only priced foods and the household cost is an underestimate.</t>
  </si>
</sst>
</file>

<file path=xl/styles.xml><?xml version="1.0" encoding="utf-8"?>
<styleSheet xmlns="http://schemas.openxmlformats.org/spreadsheetml/2006/main">
  <numFmts count="7">
    <numFmt numFmtId="164" formatCode="yyyy-mm-dd"/>
    <numFmt numFmtId="165" formatCode="&quot;KSh &quot; #,##0.00;[Red]-&quot;KSh &quot; #,##0.00"/>
    <numFmt numFmtId="166" formatCode="0.00"/>
    <numFmt numFmtId="167" formatCode="&quot;KSh &quot; #,##0.00"/>
    <numFmt numFmtId="168" formatCode="0.0%"/>
    <numFmt numFmtId="169" formatCode="0.0"/>
    <numFmt numFmtId="170" formatCode="mmm yyyy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9"/>
      <color rgb="FFFFFFFF"/>
      <name val="Calibri"/>
      <family val="2"/>
      <scheme val="minor"/>
    </font>
    <font>
      <sz val="10"/>
      <color rgb="FF52687A"/>
      <name val="Calibri"/>
      <family val="2"/>
      <scheme val="minor"/>
    </font>
    <font>
      <b/>
      <sz val="12"/>
      <color rgb="FF15324B"/>
      <name val="Calibri"/>
      <family val="2"/>
      <scheme val="minor"/>
    </font>
    <font>
      <b/>
      <sz val="11"/>
      <color rgb="FF15324B"/>
      <name val="Calibri"/>
      <family val="2"/>
      <scheme val="minor"/>
    </font>
    <font>
      <sz val="9"/>
      <color rgb="FF52687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8A83"/>
        <bgColor indexed="64"/>
      </patternFill>
    </fill>
    <fill>
      <patternFill patternType="solid">
        <fgColor rgb="FF15324B"/>
        <bgColor indexed="64"/>
      </patternFill>
    </fill>
    <fill>
      <patternFill patternType="solid">
        <fgColor rgb="FFFFF4CF"/>
        <bgColor indexed="64"/>
      </patternFill>
    </fill>
    <fill>
      <patternFill patternType="solid">
        <fgColor rgb="FFE7F4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E7B84B"/>
      </left>
      <right style="thin">
        <color rgb="FFE7B84B"/>
      </right>
      <top style="thin">
        <color rgb="FFE7B84B"/>
      </top>
      <bottom style="thin">
        <color rgb="FFE7B84B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0" borderId="0" xfId="0" applyFont="1" applyAlignment="1">
      <alignment wrapText="1"/>
    </xf>
    <xf numFmtId="0" fontId="4" fillId="0" borderId="1" xfId="0" applyFont="1" applyBorder="1"/>
    <xf numFmtId="166" fontId="0" fillId="4" borderId="2" xfId="0" applyNumberFormat="1" applyFill="1" applyBorder="1"/>
    <xf numFmtId="0" fontId="5" fillId="5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" fontId="0" fillId="4" borderId="2" xfId="0" applyNumberFormat="1" applyFill="1" applyBorder="1"/>
    <xf numFmtId="167" fontId="0" fillId="4" borderId="2" xfId="0" applyNumberFormat="1" applyFill="1" applyBorder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6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Maize flour — KG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Maize flour (KG)</c:v>
          </c:tx>
          <c:spPr>
            <a:ln w="28575">
              <a:solidFill>
                <a:srgbClr val="1A8A83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A8A83"/>
                </a:solidFill>
              </a:ln>
            </c:spPr>
          </c:marker>
          <c:cat>
            <c:numRef>
              <c:f>'Dashboard &amp; Charts'!$A$39:$A$62</c:f>
              <c:numCache>
                <c:formatCode>General</c:formatCode>
                <c:ptCount val="24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</c:numCache>
            </c:numRef>
          </c:cat>
          <c:val>
            <c:numRef>
              <c:f>'Dashboard &amp; Charts'!$D$39:$D$62</c:f>
              <c:numCache>
                <c:formatCode>General</c:formatCode>
                <c:ptCount val="24"/>
                <c:pt idx="0">
                  <c:v>76.67</c:v>
                </c:pt>
                <c:pt idx="1">
                  <c:v>80</c:v>
                </c:pt>
                <c:pt idx="2">
                  <c:v>78.85499999999999</c:v>
                </c:pt>
                <c:pt idx="3">
                  <c:v>81.66499999999999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83.33</c:v>
                </c:pt>
                <c:pt idx="11">
                  <c:v>83.33</c:v>
                </c:pt>
                <c:pt idx="12">
                  <c:v>82.91499999999999</c:v>
                </c:pt>
                <c:pt idx="13">
                  <c:v>81.575</c:v>
                </c:pt>
                <c:pt idx="14">
                  <c:v>95</c:v>
                </c:pt>
                <c:pt idx="15">
                  <c:v>98.40000000000001</c:v>
                </c:pt>
                <c:pt idx="16">
                  <c:v>96.01000000000001</c:v>
                </c:pt>
                <c:pt idx="17">
                  <c:v>80</c:v>
                </c:pt>
                <c:pt idx="18">
                  <c:v>83.33</c:v>
                </c:pt>
                <c:pt idx="19">
                  <c:v>97.985</c:v>
                </c:pt>
                <c:pt idx="20">
                  <c:v>84.375</c:v>
                </c:pt>
                <c:pt idx="21">
                  <c:v>84.72</c:v>
                </c:pt>
                <c:pt idx="22">
                  <c:v>83.78</c:v>
                </c:pt>
                <c:pt idx="23">
                  <c:v>85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 yy" sourceLinked="0"/>
        <c:tickLblPos val="low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2E8E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Median price (KES)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Beans (dry) — KG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Beans (dry) (KG)</c:v>
          </c:tx>
          <c:spPr>
            <a:ln w="28575">
              <a:solidFill>
                <a:srgbClr val="1A8A83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A8A83"/>
                </a:solidFill>
              </a:ln>
            </c:spPr>
          </c:marker>
          <c:cat>
            <c:numRef>
              <c:f>'Dashboard &amp; Charts'!$A$39:$A$62</c:f>
              <c:numCache>
                <c:formatCode>General</c:formatCode>
                <c:ptCount val="24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</c:numCache>
            </c:numRef>
          </c:cat>
          <c:val>
            <c:numRef>
              <c:f>'Dashboard &amp; Charts'!$D$39:$D$62</c:f>
              <c:numCache>
                <c:formatCode>General</c:formatCode>
                <c:ptCount val="24"/>
                <c:pt idx="0">
                  <c:v>76.67</c:v>
                </c:pt>
                <c:pt idx="1">
                  <c:v>80</c:v>
                </c:pt>
                <c:pt idx="2">
                  <c:v>78.85499999999999</c:v>
                </c:pt>
                <c:pt idx="3">
                  <c:v>81.66499999999999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83.33</c:v>
                </c:pt>
                <c:pt idx="11">
                  <c:v>83.33</c:v>
                </c:pt>
                <c:pt idx="12">
                  <c:v>82.91499999999999</c:v>
                </c:pt>
                <c:pt idx="13">
                  <c:v>81.575</c:v>
                </c:pt>
                <c:pt idx="14">
                  <c:v>95</c:v>
                </c:pt>
                <c:pt idx="15">
                  <c:v>98.40000000000001</c:v>
                </c:pt>
                <c:pt idx="16">
                  <c:v>96.01000000000001</c:v>
                </c:pt>
                <c:pt idx="17">
                  <c:v>80</c:v>
                </c:pt>
                <c:pt idx="18">
                  <c:v>83.33</c:v>
                </c:pt>
                <c:pt idx="19">
                  <c:v>97.985</c:v>
                </c:pt>
                <c:pt idx="20">
                  <c:v>84.375</c:v>
                </c:pt>
                <c:pt idx="21">
                  <c:v>84.72</c:v>
                </c:pt>
                <c:pt idx="22">
                  <c:v>83.78</c:v>
                </c:pt>
                <c:pt idx="23">
                  <c:v>85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mmm yy" sourceLinked="0"/>
        <c:tickLblPos val="low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2E8E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Median price (KES)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Potatoes (Irish) — KG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Potatoes (Irish) (KG)</c:v>
          </c:tx>
          <c:spPr>
            <a:ln w="28575">
              <a:solidFill>
                <a:srgbClr val="1A8A83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A8A83"/>
                </a:solidFill>
              </a:ln>
            </c:spPr>
          </c:marker>
          <c:cat>
            <c:numRef>
              <c:f>'Dashboard &amp; Charts'!$A$39:$A$62</c:f>
              <c:numCache>
                <c:formatCode>General</c:formatCode>
                <c:ptCount val="24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</c:numCache>
            </c:numRef>
          </c:cat>
          <c:val>
            <c:numRef>
              <c:f>'Dashboard &amp; Charts'!$D$39:$D$62</c:f>
              <c:numCache>
                <c:formatCode>General</c:formatCode>
                <c:ptCount val="24"/>
                <c:pt idx="0">
                  <c:v>76.67</c:v>
                </c:pt>
                <c:pt idx="1">
                  <c:v>80</c:v>
                </c:pt>
                <c:pt idx="2">
                  <c:v>78.85499999999999</c:v>
                </c:pt>
                <c:pt idx="3">
                  <c:v>81.66499999999999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83.33</c:v>
                </c:pt>
                <c:pt idx="11">
                  <c:v>83.33</c:v>
                </c:pt>
                <c:pt idx="12">
                  <c:v>82.91499999999999</c:v>
                </c:pt>
                <c:pt idx="13">
                  <c:v>81.575</c:v>
                </c:pt>
                <c:pt idx="14">
                  <c:v>95</c:v>
                </c:pt>
                <c:pt idx="15">
                  <c:v>98.40000000000001</c:v>
                </c:pt>
                <c:pt idx="16">
                  <c:v>96.01000000000001</c:v>
                </c:pt>
                <c:pt idx="17">
                  <c:v>80</c:v>
                </c:pt>
                <c:pt idx="18">
                  <c:v>83.33</c:v>
                </c:pt>
                <c:pt idx="19">
                  <c:v>97.985</c:v>
                </c:pt>
                <c:pt idx="20">
                  <c:v>84.375</c:v>
                </c:pt>
                <c:pt idx="21">
                  <c:v>84.72</c:v>
                </c:pt>
                <c:pt idx="22">
                  <c:v>83.78</c:v>
                </c:pt>
                <c:pt idx="23">
                  <c:v>85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numFmt formatCode="mmm yy" sourceLinked="0"/>
        <c:tickLblPos val="low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2E8E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Median price (KES)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Rice — KG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Rice (KG)</c:v>
          </c:tx>
          <c:spPr>
            <a:ln w="28575">
              <a:solidFill>
                <a:srgbClr val="1A8A83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1A8A83"/>
                </a:solidFill>
              </a:ln>
            </c:spPr>
          </c:marker>
          <c:cat>
            <c:numRef>
              <c:f>'Dashboard &amp; Charts'!$A$39:$A$62</c:f>
              <c:numCache>
                <c:formatCode>General</c:formatCode>
                <c:ptCount val="24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</c:numCache>
            </c:numRef>
          </c:cat>
          <c:val>
            <c:numRef>
              <c:f>'Dashboard &amp; Charts'!$D$39:$D$62</c:f>
              <c:numCache>
                <c:formatCode>General</c:formatCode>
                <c:ptCount val="24"/>
                <c:pt idx="0">
                  <c:v>76.67</c:v>
                </c:pt>
                <c:pt idx="1">
                  <c:v>80</c:v>
                </c:pt>
                <c:pt idx="2">
                  <c:v>78.85499999999999</c:v>
                </c:pt>
                <c:pt idx="3">
                  <c:v>81.66499999999999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83.33</c:v>
                </c:pt>
                <c:pt idx="11">
                  <c:v>83.33</c:v>
                </c:pt>
                <c:pt idx="12">
                  <c:v>82.91499999999999</c:v>
                </c:pt>
                <c:pt idx="13">
                  <c:v>81.575</c:v>
                </c:pt>
                <c:pt idx="14">
                  <c:v>95</c:v>
                </c:pt>
                <c:pt idx="15">
                  <c:v>98.40000000000001</c:v>
                </c:pt>
                <c:pt idx="16">
                  <c:v>96.01000000000001</c:v>
                </c:pt>
                <c:pt idx="17">
                  <c:v>80</c:v>
                </c:pt>
                <c:pt idx="18">
                  <c:v>83.33</c:v>
                </c:pt>
                <c:pt idx="19">
                  <c:v>97.985</c:v>
                </c:pt>
                <c:pt idx="20">
                  <c:v>84.375</c:v>
                </c:pt>
                <c:pt idx="21">
                  <c:v>84.72</c:v>
                </c:pt>
                <c:pt idx="22">
                  <c:v>83.78</c:v>
                </c:pt>
                <c:pt idx="23">
                  <c:v>85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numFmt formatCode="mmm yy" sourceLinked="0"/>
        <c:tickLblPos val="low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2E8ED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Median price (KES)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1085850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</xdr:row>
      <xdr:rowOff>0</xdr:rowOff>
    </xdr:from>
    <xdr:to>
      <xdr:col>12</xdr:col>
      <xdr:colOff>190500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3</xdr:col>
      <xdr:colOff>1085850</xdr:colOff>
      <xdr:row>34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190500</xdr:colOff>
      <xdr:row>34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WFPRecentPrices" displayName="WFPRecentPrices" ref="A1:K1690" totalsRowShown="0">
  <autoFilter ref="A1:K1690"/>
  <tableColumns count="11">
    <tableColumn id="1" name="Date"/>
    <tableColumn id="2" name="Admin 1"/>
    <tableColumn id="3" name="Admin 2"/>
    <tableColumn id="4" name="Market"/>
    <tableColumn id="5" name="Commodity"/>
    <tableColumn id="6" name="Unit"/>
    <tableColumn id="7" name="Price (KES)"/>
    <tableColumn id="8" name="Price Type"/>
    <tableColumn id="9" name="Price Flag"/>
    <tableColumn id="10" name="Currency"/>
    <tableColumn id="11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humdata.org/dataset/wfp-food-prices-for-kenya" TargetMode="External"/><Relationship Id="rId2" Type="http://schemas.openxmlformats.org/officeDocument/2006/relationships/hyperlink" Target="https://www.knbs.or.ke/reports/consumer-price-indices-and-inflation-rates-september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A8A83"/>
  </sheetPr>
  <dimension ref="A1:K16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4" width="22.7109375" customWidth="1"/>
    <col min="5" max="6" width="21.7109375" customWidth="1"/>
    <col min="7" max="7" width="17.7109375" customWidth="1"/>
    <col min="8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45580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1750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s="1">
        <v>45580</v>
      </c>
      <c r="B3" t="s">
        <v>20</v>
      </c>
      <c r="C3" t="s">
        <v>20</v>
      </c>
      <c r="D3" t="s">
        <v>21</v>
      </c>
      <c r="E3" t="s">
        <v>14</v>
      </c>
      <c r="F3" t="s">
        <v>15</v>
      </c>
      <c r="G3" s="2">
        <v>1500</v>
      </c>
      <c r="H3" t="s">
        <v>16</v>
      </c>
      <c r="I3" t="s">
        <v>17</v>
      </c>
      <c r="J3" t="s">
        <v>18</v>
      </c>
      <c r="K3" t="s">
        <v>19</v>
      </c>
    </row>
    <row r="4" spans="1:11">
      <c r="A4" s="1">
        <v>45611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s="2">
        <v>1833.5</v>
      </c>
      <c r="H4" t="s">
        <v>16</v>
      </c>
      <c r="I4" t="s">
        <v>17</v>
      </c>
      <c r="J4" t="s">
        <v>18</v>
      </c>
      <c r="K4" t="s">
        <v>19</v>
      </c>
    </row>
    <row r="5" spans="1:11">
      <c r="A5" s="1">
        <v>45641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2">
        <v>150</v>
      </c>
      <c r="H5" t="s">
        <v>27</v>
      </c>
      <c r="I5" t="s">
        <v>17</v>
      </c>
      <c r="J5" t="s">
        <v>18</v>
      </c>
      <c r="K5" t="s">
        <v>19</v>
      </c>
    </row>
    <row r="6" spans="1:11">
      <c r="A6" s="1">
        <v>45641</v>
      </c>
      <c r="B6" t="s">
        <v>22</v>
      </c>
      <c r="C6" t="s">
        <v>23</v>
      </c>
      <c r="D6" t="s">
        <v>28</v>
      </c>
      <c r="E6" t="s">
        <v>25</v>
      </c>
      <c r="F6" t="s">
        <v>26</v>
      </c>
      <c r="G6" s="2">
        <v>160</v>
      </c>
      <c r="H6" t="s">
        <v>27</v>
      </c>
      <c r="I6" t="s">
        <v>17</v>
      </c>
      <c r="J6" t="s">
        <v>18</v>
      </c>
      <c r="K6" t="s">
        <v>19</v>
      </c>
    </row>
    <row r="7" spans="1:11">
      <c r="A7" s="1">
        <v>45641</v>
      </c>
      <c r="B7" t="s">
        <v>22</v>
      </c>
      <c r="C7" t="s">
        <v>23</v>
      </c>
      <c r="D7" t="s">
        <v>29</v>
      </c>
      <c r="E7" t="s">
        <v>25</v>
      </c>
      <c r="F7" t="s">
        <v>26</v>
      </c>
      <c r="G7" s="2">
        <v>163</v>
      </c>
      <c r="H7" t="s">
        <v>27</v>
      </c>
      <c r="I7" t="s">
        <v>17</v>
      </c>
      <c r="J7" t="s">
        <v>18</v>
      </c>
      <c r="K7" t="s">
        <v>19</v>
      </c>
    </row>
    <row r="8" spans="1:11">
      <c r="A8" s="1">
        <v>45641</v>
      </c>
      <c r="B8" t="s">
        <v>22</v>
      </c>
      <c r="C8" t="s">
        <v>30</v>
      </c>
      <c r="D8" t="s">
        <v>31</v>
      </c>
      <c r="E8" t="s">
        <v>25</v>
      </c>
      <c r="F8" t="s">
        <v>26</v>
      </c>
      <c r="G8" s="2">
        <v>149</v>
      </c>
      <c r="H8" t="s">
        <v>27</v>
      </c>
      <c r="I8" t="s">
        <v>17</v>
      </c>
      <c r="J8" t="s">
        <v>18</v>
      </c>
      <c r="K8" t="s">
        <v>19</v>
      </c>
    </row>
    <row r="9" spans="1:11">
      <c r="A9" s="1">
        <v>45641</v>
      </c>
      <c r="B9" t="s">
        <v>22</v>
      </c>
      <c r="C9" t="s">
        <v>30</v>
      </c>
      <c r="D9" t="s">
        <v>32</v>
      </c>
      <c r="E9" t="s">
        <v>25</v>
      </c>
      <c r="F9" t="s">
        <v>26</v>
      </c>
      <c r="G9" s="2">
        <v>155</v>
      </c>
      <c r="H9" t="s">
        <v>27</v>
      </c>
      <c r="I9" t="s">
        <v>17</v>
      </c>
      <c r="J9" t="s">
        <v>18</v>
      </c>
      <c r="K9" t="s">
        <v>19</v>
      </c>
    </row>
    <row r="10" spans="1:11">
      <c r="A10" s="1">
        <v>45641</v>
      </c>
      <c r="B10" t="s">
        <v>22</v>
      </c>
      <c r="C10" t="s">
        <v>30</v>
      </c>
      <c r="D10" t="s">
        <v>33</v>
      </c>
      <c r="E10" t="s">
        <v>25</v>
      </c>
      <c r="F10" t="s">
        <v>26</v>
      </c>
      <c r="G10" s="2">
        <v>151</v>
      </c>
      <c r="H10" t="s">
        <v>27</v>
      </c>
      <c r="I10" t="s">
        <v>17</v>
      </c>
      <c r="J10" t="s">
        <v>18</v>
      </c>
      <c r="K10" t="s">
        <v>19</v>
      </c>
    </row>
    <row r="11" spans="1:11">
      <c r="A11" s="1">
        <v>45641</v>
      </c>
      <c r="B11" t="s">
        <v>22</v>
      </c>
      <c r="C11" t="s">
        <v>30</v>
      </c>
      <c r="D11" t="s">
        <v>34</v>
      </c>
      <c r="E11" t="s">
        <v>25</v>
      </c>
      <c r="F11" t="s">
        <v>26</v>
      </c>
      <c r="G11" s="2">
        <v>157.5</v>
      </c>
      <c r="H11" t="s">
        <v>27</v>
      </c>
      <c r="I11" t="s">
        <v>17</v>
      </c>
      <c r="J11" t="s">
        <v>18</v>
      </c>
      <c r="K11" t="s">
        <v>19</v>
      </c>
    </row>
    <row r="12" spans="1:11">
      <c r="A12" s="1">
        <v>45641</v>
      </c>
      <c r="B12" t="s">
        <v>22</v>
      </c>
      <c r="C12" t="s">
        <v>30</v>
      </c>
      <c r="D12" t="s">
        <v>34</v>
      </c>
      <c r="E12" t="s">
        <v>14</v>
      </c>
      <c r="F12" t="s">
        <v>26</v>
      </c>
      <c r="G12" s="2">
        <v>67</v>
      </c>
      <c r="H12" t="s">
        <v>27</v>
      </c>
      <c r="I12" t="s">
        <v>17</v>
      </c>
      <c r="J12" t="s">
        <v>18</v>
      </c>
      <c r="K12" t="s">
        <v>19</v>
      </c>
    </row>
    <row r="13" spans="1:11">
      <c r="A13" s="1">
        <v>45641</v>
      </c>
      <c r="B13" t="s">
        <v>22</v>
      </c>
      <c r="C13" t="s">
        <v>30</v>
      </c>
      <c r="D13" t="s">
        <v>35</v>
      </c>
      <c r="E13" t="s">
        <v>25</v>
      </c>
      <c r="F13" t="s">
        <v>26</v>
      </c>
      <c r="G13" s="2">
        <v>149</v>
      </c>
      <c r="H13" t="s">
        <v>27</v>
      </c>
      <c r="I13" t="s">
        <v>17</v>
      </c>
      <c r="J13" t="s">
        <v>18</v>
      </c>
      <c r="K13" t="s">
        <v>19</v>
      </c>
    </row>
    <row r="14" spans="1:11">
      <c r="A14" s="1">
        <v>45641</v>
      </c>
      <c r="B14" t="s">
        <v>22</v>
      </c>
      <c r="C14" t="s">
        <v>30</v>
      </c>
      <c r="D14" t="s">
        <v>36</v>
      </c>
      <c r="E14" t="s">
        <v>25</v>
      </c>
      <c r="F14" t="s">
        <v>26</v>
      </c>
      <c r="G14" s="2">
        <v>150</v>
      </c>
      <c r="H14" t="s">
        <v>27</v>
      </c>
      <c r="I14" t="s">
        <v>17</v>
      </c>
      <c r="J14" t="s">
        <v>18</v>
      </c>
      <c r="K14" t="s">
        <v>19</v>
      </c>
    </row>
    <row r="15" spans="1:11">
      <c r="A15" s="1">
        <v>45641</v>
      </c>
      <c r="B15" t="s">
        <v>22</v>
      </c>
      <c r="C15" t="s">
        <v>30</v>
      </c>
      <c r="D15" t="s">
        <v>37</v>
      </c>
      <c r="E15" t="s">
        <v>25</v>
      </c>
      <c r="F15" t="s">
        <v>26</v>
      </c>
      <c r="G15" s="2">
        <v>170</v>
      </c>
      <c r="H15" t="s">
        <v>27</v>
      </c>
      <c r="I15" t="s">
        <v>17</v>
      </c>
      <c r="J15" t="s">
        <v>18</v>
      </c>
      <c r="K15" t="s">
        <v>19</v>
      </c>
    </row>
    <row r="16" spans="1:11">
      <c r="A16" s="1">
        <v>45641</v>
      </c>
      <c r="B16" t="s">
        <v>22</v>
      </c>
      <c r="C16" t="s">
        <v>30</v>
      </c>
      <c r="D16" t="s">
        <v>38</v>
      </c>
      <c r="E16" t="s">
        <v>25</v>
      </c>
      <c r="F16" t="s">
        <v>26</v>
      </c>
      <c r="G16" s="2">
        <v>154</v>
      </c>
      <c r="H16" t="s">
        <v>27</v>
      </c>
      <c r="I16" t="s">
        <v>17</v>
      </c>
      <c r="J16" t="s">
        <v>18</v>
      </c>
      <c r="K16" t="s">
        <v>19</v>
      </c>
    </row>
    <row r="17" spans="1:11">
      <c r="A17" s="1">
        <v>45641</v>
      </c>
      <c r="B17" t="s">
        <v>22</v>
      </c>
      <c r="C17" t="s">
        <v>30</v>
      </c>
      <c r="D17" t="s">
        <v>39</v>
      </c>
      <c r="E17" t="s">
        <v>25</v>
      </c>
      <c r="F17" t="s">
        <v>26</v>
      </c>
      <c r="G17" s="2">
        <v>190</v>
      </c>
      <c r="H17" t="s">
        <v>27</v>
      </c>
      <c r="I17" t="s">
        <v>17</v>
      </c>
      <c r="J17" t="s">
        <v>18</v>
      </c>
      <c r="K17" t="s">
        <v>19</v>
      </c>
    </row>
    <row r="18" spans="1:11">
      <c r="A18" s="1">
        <v>45641</v>
      </c>
      <c r="B18" t="s">
        <v>22</v>
      </c>
      <c r="C18" t="s">
        <v>30</v>
      </c>
      <c r="D18" t="s">
        <v>40</v>
      </c>
      <c r="E18" t="s">
        <v>25</v>
      </c>
      <c r="F18" t="s">
        <v>26</v>
      </c>
      <c r="G18" s="2">
        <v>140</v>
      </c>
      <c r="H18" t="s">
        <v>27</v>
      </c>
      <c r="I18" t="s">
        <v>17</v>
      </c>
      <c r="J18" t="s">
        <v>18</v>
      </c>
      <c r="K18" t="s">
        <v>19</v>
      </c>
    </row>
    <row r="19" spans="1:11">
      <c r="A19" s="1">
        <v>45641</v>
      </c>
      <c r="B19" t="s">
        <v>22</v>
      </c>
      <c r="C19" t="s">
        <v>30</v>
      </c>
      <c r="D19" t="s">
        <v>41</v>
      </c>
      <c r="E19" t="s">
        <v>25</v>
      </c>
      <c r="F19" t="s">
        <v>26</v>
      </c>
      <c r="G19" s="2">
        <v>162</v>
      </c>
      <c r="H19" t="s">
        <v>27</v>
      </c>
      <c r="I19" t="s">
        <v>17</v>
      </c>
      <c r="J19" t="s">
        <v>18</v>
      </c>
      <c r="K19" t="s">
        <v>19</v>
      </c>
    </row>
    <row r="20" spans="1:11">
      <c r="A20" s="1">
        <v>45641</v>
      </c>
      <c r="B20" t="s">
        <v>22</v>
      </c>
      <c r="C20" t="s">
        <v>30</v>
      </c>
      <c r="D20" t="s">
        <v>41</v>
      </c>
      <c r="E20" t="s">
        <v>14</v>
      </c>
      <c r="F20" t="s">
        <v>26</v>
      </c>
      <c r="G20" s="2">
        <v>100</v>
      </c>
      <c r="H20" t="s">
        <v>27</v>
      </c>
      <c r="I20" t="s">
        <v>17</v>
      </c>
      <c r="J20" t="s">
        <v>18</v>
      </c>
      <c r="K20" t="s">
        <v>19</v>
      </c>
    </row>
    <row r="21" spans="1:11">
      <c r="A21" s="1">
        <v>45641</v>
      </c>
      <c r="B21" t="s">
        <v>22</v>
      </c>
      <c r="C21" t="s">
        <v>30</v>
      </c>
      <c r="D21" t="s">
        <v>42</v>
      </c>
      <c r="E21" t="s">
        <v>25</v>
      </c>
      <c r="F21" t="s">
        <v>26</v>
      </c>
      <c r="G21" s="2">
        <v>148</v>
      </c>
      <c r="H21" t="s">
        <v>27</v>
      </c>
      <c r="I21" t="s">
        <v>17</v>
      </c>
      <c r="J21" t="s">
        <v>18</v>
      </c>
      <c r="K21" t="s">
        <v>19</v>
      </c>
    </row>
    <row r="22" spans="1:11">
      <c r="A22" s="1">
        <v>45641</v>
      </c>
      <c r="B22" t="s">
        <v>11</v>
      </c>
      <c r="C22" t="s">
        <v>43</v>
      </c>
      <c r="D22" t="s">
        <v>44</v>
      </c>
      <c r="E22" t="s">
        <v>25</v>
      </c>
      <c r="F22" t="s">
        <v>26</v>
      </c>
      <c r="G22" s="2">
        <v>157</v>
      </c>
      <c r="H22" t="s">
        <v>27</v>
      </c>
      <c r="I22" t="s">
        <v>17</v>
      </c>
      <c r="J22" t="s">
        <v>18</v>
      </c>
      <c r="K22" t="s">
        <v>19</v>
      </c>
    </row>
    <row r="23" spans="1:11">
      <c r="A23" s="1">
        <v>45641</v>
      </c>
      <c r="B23" t="s">
        <v>11</v>
      </c>
      <c r="C23" t="s">
        <v>43</v>
      </c>
      <c r="D23" t="s">
        <v>45</v>
      </c>
      <c r="E23" t="s">
        <v>25</v>
      </c>
      <c r="F23" t="s">
        <v>26</v>
      </c>
      <c r="G23" s="2">
        <v>160</v>
      </c>
      <c r="H23" t="s">
        <v>27</v>
      </c>
      <c r="I23" t="s">
        <v>17</v>
      </c>
      <c r="J23" t="s">
        <v>18</v>
      </c>
      <c r="K23" t="s">
        <v>19</v>
      </c>
    </row>
    <row r="24" spans="1:11">
      <c r="A24" s="1">
        <v>45641</v>
      </c>
      <c r="B24" t="s">
        <v>11</v>
      </c>
      <c r="C24" t="s">
        <v>43</v>
      </c>
      <c r="D24" t="s">
        <v>46</v>
      </c>
      <c r="E24" t="s">
        <v>25</v>
      </c>
      <c r="F24" t="s">
        <v>26</v>
      </c>
      <c r="G24" s="2">
        <v>157</v>
      </c>
      <c r="H24" t="s">
        <v>27</v>
      </c>
      <c r="I24" t="s">
        <v>17</v>
      </c>
      <c r="J24" t="s">
        <v>18</v>
      </c>
      <c r="K24" t="s">
        <v>19</v>
      </c>
    </row>
    <row r="25" spans="1:11">
      <c r="A25" s="1">
        <v>45641</v>
      </c>
      <c r="B25" t="s">
        <v>11</v>
      </c>
      <c r="C25" t="s">
        <v>43</v>
      </c>
      <c r="D25" t="s">
        <v>47</v>
      </c>
      <c r="E25" t="s">
        <v>25</v>
      </c>
      <c r="F25" t="s">
        <v>26</v>
      </c>
      <c r="G25" s="2">
        <v>200</v>
      </c>
      <c r="H25" t="s">
        <v>27</v>
      </c>
      <c r="I25" t="s">
        <v>17</v>
      </c>
      <c r="J25" t="s">
        <v>18</v>
      </c>
      <c r="K25" t="s">
        <v>19</v>
      </c>
    </row>
    <row r="26" spans="1:11">
      <c r="A26" s="1">
        <v>45641</v>
      </c>
      <c r="B26" t="s">
        <v>11</v>
      </c>
      <c r="C26" t="s">
        <v>43</v>
      </c>
      <c r="D26" t="s">
        <v>48</v>
      </c>
      <c r="E26" t="s">
        <v>25</v>
      </c>
      <c r="F26" t="s">
        <v>26</v>
      </c>
      <c r="G26" s="2">
        <v>152</v>
      </c>
      <c r="H26" t="s">
        <v>27</v>
      </c>
      <c r="I26" t="s">
        <v>17</v>
      </c>
      <c r="J26" t="s">
        <v>18</v>
      </c>
      <c r="K26" t="s">
        <v>19</v>
      </c>
    </row>
    <row r="27" spans="1:11">
      <c r="A27" s="1">
        <v>45641</v>
      </c>
      <c r="B27" t="s">
        <v>11</v>
      </c>
      <c r="C27" t="s">
        <v>43</v>
      </c>
      <c r="D27" t="s">
        <v>49</v>
      </c>
      <c r="E27" t="s">
        <v>25</v>
      </c>
      <c r="F27" t="s">
        <v>26</v>
      </c>
      <c r="G27" s="2">
        <v>160</v>
      </c>
      <c r="H27" t="s">
        <v>27</v>
      </c>
      <c r="I27" t="s">
        <v>17</v>
      </c>
      <c r="J27" t="s">
        <v>18</v>
      </c>
      <c r="K27" t="s">
        <v>19</v>
      </c>
    </row>
    <row r="28" spans="1:11">
      <c r="A28" s="1">
        <v>45641</v>
      </c>
      <c r="B28" t="s">
        <v>11</v>
      </c>
      <c r="C28" t="s">
        <v>43</v>
      </c>
      <c r="D28" t="s">
        <v>50</v>
      </c>
      <c r="E28" t="s">
        <v>25</v>
      </c>
      <c r="F28" t="s">
        <v>26</v>
      </c>
      <c r="G28" s="2">
        <v>174</v>
      </c>
      <c r="H28" t="s">
        <v>27</v>
      </c>
      <c r="I28" t="s">
        <v>17</v>
      </c>
      <c r="J28" t="s">
        <v>18</v>
      </c>
      <c r="K28" t="s">
        <v>19</v>
      </c>
    </row>
    <row r="29" spans="1:11">
      <c r="A29" s="1">
        <v>45641</v>
      </c>
      <c r="B29" t="s">
        <v>11</v>
      </c>
      <c r="C29" t="s">
        <v>43</v>
      </c>
      <c r="D29" t="s">
        <v>51</v>
      </c>
      <c r="E29" t="s">
        <v>25</v>
      </c>
      <c r="F29" t="s">
        <v>26</v>
      </c>
      <c r="G29" s="2">
        <v>153.5</v>
      </c>
      <c r="H29" t="s">
        <v>27</v>
      </c>
      <c r="I29" t="s">
        <v>17</v>
      </c>
      <c r="J29" t="s">
        <v>18</v>
      </c>
      <c r="K29" t="s">
        <v>19</v>
      </c>
    </row>
    <row r="30" spans="1:11">
      <c r="A30" s="1">
        <v>45641</v>
      </c>
      <c r="B30" t="s">
        <v>11</v>
      </c>
      <c r="C30" t="s">
        <v>43</v>
      </c>
      <c r="D30" t="s">
        <v>51</v>
      </c>
      <c r="E30" t="s">
        <v>14</v>
      </c>
      <c r="F30" t="s">
        <v>26</v>
      </c>
      <c r="G30" s="2">
        <v>60</v>
      </c>
      <c r="H30" t="s">
        <v>27</v>
      </c>
      <c r="I30" t="s">
        <v>17</v>
      </c>
      <c r="J30" t="s">
        <v>18</v>
      </c>
      <c r="K30" t="s">
        <v>19</v>
      </c>
    </row>
    <row r="31" spans="1:11">
      <c r="A31" s="1">
        <v>45641</v>
      </c>
      <c r="B31" t="s">
        <v>11</v>
      </c>
      <c r="C31" t="s">
        <v>43</v>
      </c>
      <c r="D31" t="s">
        <v>52</v>
      </c>
      <c r="E31" t="s">
        <v>25</v>
      </c>
      <c r="F31" t="s">
        <v>26</v>
      </c>
      <c r="G31" s="2">
        <v>152</v>
      </c>
      <c r="H31" t="s">
        <v>27</v>
      </c>
      <c r="I31" t="s">
        <v>17</v>
      </c>
      <c r="J31" t="s">
        <v>18</v>
      </c>
      <c r="K31" t="s">
        <v>19</v>
      </c>
    </row>
    <row r="32" spans="1:11">
      <c r="A32" s="1">
        <v>45641</v>
      </c>
      <c r="B32" t="s">
        <v>11</v>
      </c>
      <c r="C32" t="s">
        <v>43</v>
      </c>
      <c r="D32" t="s">
        <v>53</v>
      </c>
      <c r="E32" t="s">
        <v>25</v>
      </c>
      <c r="F32" t="s">
        <v>26</v>
      </c>
      <c r="G32" s="2">
        <v>150</v>
      </c>
      <c r="H32" t="s">
        <v>27</v>
      </c>
      <c r="I32" t="s">
        <v>17</v>
      </c>
      <c r="J32" t="s">
        <v>18</v>
      </c>
      <c r="K32" t="s">
        <v>19</v>
      </c>
    </row>
    <row r="33" spans="1:11">
      <c r="A33" s="1">
        <v>45641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s="2">
        <v>1416.5</v>
      </c>
      <c r="H33" t="s">
        <v>16</v>
      </c>
      <c r="I33" t="s">
        <v>17</v>
      </c>
      <c r="J33" t="s">
        <v>18</v>
      </c>
      <c r="K33" t="s">
        <v>19</v>
      </c>
    </row>
    <row r="34" spans="1:11">
      <c r="A34" s="1">
        <v>45641</v>
      </c>
      <c r="B34" t="s">
        <v>11</v>
      </c>
      <c r="C34" t="s">
        <v>54</v>
      </c>
      <c r="D34" t="s">
        <v>55</v>
      </c>
      <c r="E34" t="s">
        <v>25</v>
      </c>
      <c r="F34" t="s">
        <v>26</v>
      </c>
      <c r="G34" s="2">
        <v>157</v>
      </c>
      <c r="H34" t="s">
        <v>27</v>
      </c>
      <c r="I34" t="s">
        <v>17</v>
      </c>
      <c r="J34" t="s">
        <v>18</v>
      </c>
      <c r="K34" t="s">
        <v>19</v>
      </c>
    </row>
    <row r="35" spans="1:11">
      <c r="A35" s="1">
        <v>45641</v>
      </c>
      <c r="B35" t="s">
        <v>11</v>
      </c>
      <c r="C35" t="s">
        <v>54</v>
      </c>
      <c r="D35" t="s">
        <v>55</v>
      </c>
      <c r="E35" t="s">
        <v>14</v>
      </c>
      <c r="F35" t="s">
        <v>26</v>
      </c>
      <c r="G35" s="2">
        <v>50</v>
      </c>
      <c r="H35" t="s">
        <v>27</v>
      </c>
      <c r="I35" t="s">
        <v>17</v>
      </c>
      <c r="J35" t="s">
        <v>18</v>
      </c>
      <c r="K35" t="s">
        <v>19</v>
      </c>
    </row>
    <row r="36" spans="1:11">
      <c r="A36" s="1">
        <v>45641</v>
      </c>
      <c r="B36" t="s">
        <v>11</v>
      </c>
      <c r="C36" t="s">
        <v>54</v>
      </c>
      <c r="D36" t="s">
        <v>56</v>
      </c>
      <c r="E36" t="s">
        <v>25</v>
      </c>
      <c r="F36" t="s">
        <v>26</v>
      </c>
      <c r="G36" s="2">
        <v>157</v>
      </c>
      <c r="H36" t="s">
        <v>27</v>
      </c>
      <c r="I36" t="s">
        <v>17</v>
      </c>
      <c r="J36" t="s">
        <v>18</v>
      </c>
      <c r="K36" t="s">
        <v>19</v>
      </c>
    </row>
    <row r="37" spans="1:11">
      <c r="A37" s="1">
        <v>45641</v>
      </c>
      <c r="B37" t="s">
        <v>11</v>
      </c>
      <c r="C37" t="s">
        <v>54</v>
      </c>
      <c r="D37" t="s">
        <v>57</v>
      </c>
      <c r="E37" t="s">
        <v>25</v>
      </c>
      <c r="F37" t="s">
        <v>26</v>
      </c>
      <c r="G37" s="2">
        <v>160</v>
      </c>
      <c r="H37" t="s">
        <v>27</v>
      </c>
      <c r="I37" t="s">
        <v>17</v>
      </c>
      <c r="J37" t="s">
        <v>18</v>
      </c>
      <c r="K37" t="s">
        <v>19</v>
      </c>
    </row>
    <row r="38" spans="1:11">
      <c r="A38" s="1">
        <v>45641</v>
      </c>
      <c r="B38" t="s">
        <v>11</v>
      </c>
      <c r="C38" t="s">
        <v>54</v>
      </c>
      <c r="D38" t="s">
        <v>58</v>
      </c>
      <c r="E38" t="s">
        <v>25</v>
      </c>
      <c r="F38" t="s">
        <v>26</v>
      </c>
      <c r="G38" s="2">
        <v>180</v>
      </c>
      <c r="H38" t="s">
        <v>27</v>
      </c>
      <c r="I38" t="s">
        <v>17</v>
      </c>
      <c r="J38" t="s">
        <v>18</v>
      </c>
      <c r="K38" t="s">
        <v>19</v>
      </c>
    </row>
    <row r="39" spans="1:11">
      <c r="A39" s="1">
        <v>45641</v>
      </c>
      <c r="B39" t="s">
        <v>11</v>
      </c>
      <c r="C39" t="s">
        <v>59</v>
      </c>
      <c r="D39" t="s">
        <v>60</v>
      </c>
      <c r="E39" t="s">
        <v>25</v>
      </c>
      <c r="F39" t="s">
        <v>26</v>
      </c>
      <c r="G39" s="2">
        <v>148</v>
      </c>
      <c r="H39" t="s">
        <v>27</v>
      </c>
      <c r="I39" t="s">
        <v>17</v>
      </c>
      <c r="J39" t="s">
        <v>18</v>
      </c>
      <c r="K39" t="s">
        <v>19</v>
      </c>
    </row>
    <row r="40" spans="1:11">
      <c r="A40" s="1">
        <v>45641</v>
      </c>
      <c r="B40" t="s">
        <v>11</v>
      </c>
      <c r="C40" t="s">
        <v>59</v>
      </c>
      <c r="D40" t="s">
        <v>60</v>
      </c>
      <c r="E40" t="s">
        <v>14</v>
      </c>
      <c r="F40" t="s">
        <v>26</v>
      </c>
      <c r="G40" s="2">
        <v>50</v>
      </c>
      <c r="H40" t="s">
        <v>27</v>
      </c>
      <c r="I40" t="s">
        <v>17</v>
      </c>
      <c r="J40" t="s">
        <v>18</v>
      </c>
      <c r="K40" t="s">
        <v>19</v>
      </c>
    </row>
    <row r="41" spans="1:11">
      <c r="A41" s="1">
        <v>45641</v>
      </c>
      <c r="B41" t="s">
        <v>11</v>
      </c>
      <c r="C41" t="s">
        <v>61</v>
      </c>
      <c r="D41" t="s">
        <v>62</v>
      </c>
      <c r="E41" t="s">
        <v>25</v>
      </c>
      <c r="F41" t="s">
        <v>26</v>
      </c>
      <c r="G41" s="2">
        <v>140</v>
      </c>
      <c r="H41" t="s">
        <v>27</v>
      </c>
      <c r="I41" t="s">
        <v>17</v>
      </c>
      <c r="J41" t="s">
        <v>18</v>
      </c>
      <c r="K41" t="s">
        <v>19</v>
      </c>
    </row>
    <row r="42" spans="1:11">
      <c r="A42" s="1">
        <v>45641</v>
      </c>
      <c r="B42" t="s">
        <v>63</v>
      </c>
      <c r="C42" t="s">
        <v>64</v>
      </c>
      <c r="D42" t="s">
        <v>65</v>
      </c>
      <c r="E42" t="s">
        <v>25</v>
      </c>
      <c r="F42" t="s">
        <v>26</v>
      </c>
      <c r="G42" s="2">
        <v>172</v>
      </c>
      <c r="H42" t="s">
        <v>27</v>
      </c>
      <c r="I42" t="s">
        <v>17</v>
      </c>
      <c r="J42" t="s">
        <v>18</v>
      </c>
      <c r="K42" t="s">
        <v>19</v>
      </c>
    </row>
    <row r="43" spans="1:11">
      <c r="A43" s="1">
        <v>45641</v>
      </c>
      <c r="B43" t="s">
        <v>63</v>
      </c>
      <c r="C43" t="s">
        <v>64</v>
      </c>
      <c r="D43" t="s">
        <v>66</v>
      </c>
      <c r="E43" t="s">
        <v>25</v>
      </c>
      <c r="F43" t="s">
        <v>26</v>
      </c>
      <c r="G43" s="2">
        <v>156</v>
      </c>
      <c r="H43" t="s">
        <v>27</v>
      </c>
      <c r="I43" t="s">
        <v>17</v>
      </c>
      <c r="J43" t="s">
        <v>18</v>
      </c>
      <c r="K43" t="s">
        <v>19</v>
      </c>
    </row>
    <row r="44" spans="1:11">
      <c r="A44" s="1">
        <v>45641</v>
      </c>
      <c r="B44" t="s">
        <v>63</v>
      </c>
      <c r="C44" t="s">
        <v>64</v>
      </c>
      <c r="D44" t="s">
        <v>67</v>
      </c>
      <c r="E44" t="s">
        <v>25</v>
      </c>
      <c r="F44" t="s">
        <v>26</v>
      </c>
      <c r="G44" s="2">
        <v>144</v>
      </c>
      <c r="H44" t="s">
        <v>27</v>
      </c>
      <c r="I44" t="s">
        <v>17</v>
      </c>
      <c r="J44" t="s">
        <v>18</v>
      </c>
      <c r="K44" t="s">
        <v>19</v>
      </c>
    </row>
    <row r="45" spans="1:11">
      <c r="A45" s="1">
        <v>45641</v>
      </c>
      <c r="B45" t="s">
        <v>63</v>
      </c>
      <c r="C45" t="s">
        <v>64</v>
      </c>
      <c r="D45" t="s">
        <v>68</v>
      </c>
      <c r="E45" t="s">
        <v>14</v>
      </c>
      <c r="F45" t="s">
        <v>26</v>
      </c>
      <c r="G45" s="2">
        <v>96</v>
      </c>
      <c r="H45" t="s">
        <v>27</v>
      </c>
      <c r="I45" t="s">
        <v>17</v>
      </c>
      <c r="J45" t="s">
        <v>18</v>
      </c>
      <c r="K45" t="s">
        <v>19</v>
      </c>
    </row>
    <row r="46" spans="1:11">
      <c r="A46" s="1">
        <v>45641</v>
      </c>
      <c r="B46" t="s">
        <v>63</v>
      </c>
      <c r="C46" t="s">
        <v>64</v>
      </c>
      <c r="D46" t="s">
        <v>69</v>
      </c>
      <c r="E46" t="s">
        <v>25</v>
      </c>
      <c r="F46" t="s">
        <v>26</v>
      </c>
      <c r="G46" s="2">
        <v>158</v>
      </c>
      <c r="H46" t="s">
        <v>27</v>
      </c>
      <c r="I46" t="s">
        <v>17</v>
      </c>
      <c r="J46" t="s">
        <v>18</v>
      </c>
      <c r="K46" t="s">
        <v>19</v>
      </c>
    </row>
    <row r="47" spans="1:11">
      <c r="A47" s="1">
        <v>45641</v>
      </c>
      <c r="B47" t="s">
        <v>63</v>
      </c>
      <c r="C47" t="s">
        <v>64</v>
      </c>
      <c r="D47" t="s">
        <v>70</v>
      </c>
      <c r="E47" t="s">
        <v>25</v>
      </c>
      <c r="F47" t="s">
        <v>26</v>
      </c>
      <c r="G47" s="2">
        <v>150</v>
      </c>
      <c r="H47" t="s">
        <v>27</v>
      </c>
      <c r="I47" t="s">
        <v>17</v>
      </c>
      <c r="J47" t="s">
        <v>18</v>
      </c>
      <c r="K47" t="s">
        <v>19</v>
      </c>
    </row>
    <row r="48" spans="1:11">
      <c r="A48" s="1">
        <v>45641</v>
      </c>
      <c r="B48" t="s">
        <v>63</v>
      </c>
      <c r="C48" t="s">
        <v>64</v>
      </c>
      <c r="D48" t="s">
        <v>71</v>
      </c>
      <c r="E48" t="s">
        <v>14</v>
      </c>
      <c r="F48" t="s">
        <v>26</v>
      </c>
      <c r="G48" s="2">
        <v>96</v>
      </c>
      <c r="H48" t="s">
        <v>27</v>
      </c>
      <c r="I48" t="s">
        <v>17</v>
      </c>
      <c r="J48" t="s">
        <v>18</v>
      </c>
      <c r="K48" t="s">
        <v>19</v>
      </c>
    </row>
    <row r="49" spans="1:11">
      <c r="A49" s="1">
        <v>45641</v>
      </c>
      <c r="B49" t="s">
        <v>63</v>
      </c>
      <c r="C49" t="s">
        <v>64</v>
      </c>
      <c r="D49" t="s">
        <v>72</v>
      </c>
      <c r="E49" t="s">
        <v>14</v>
      </c>
      <c r="F49" t="s">
        <v>26</v>
      </c>
      <c r="G49" s="2">
        <v>99</v>
      </c>
      <c r="H49" t="s">
        <v>27</v>
      </c>
      <c r="I49" t="s">
        <v>17</v>
      </c>
      <c r="J49" t="s">
        <v>18</v>
      </c>
      <c r="K49" t="s">
        <v>19</v>
      </c>
    </row>
    <row r="50" spans="1:11">
      <c r="A50" s="1">
        <v>45641</v>
      </c>
      <c r="B50" t="s">
        <v>63</v>
      </c>
      <c r="C50" t="s">
        <v>64</v>
      </c>
      <c r="D50" t="s">
        <v>73</v>
      </c>
      <c r="E50" t="s">
        <v>25</v>
      </c>
      <c r="F50" t="s">
        <v>26</v>
      </c>
      <c r="G50" s="2">
        <v>147</v>
      </c>
      <c r="H50" t="s">
        <v>27</v>
      </c>
      <c r="I50" t="s">
        <v>17</v>
      </c>
      <c r="J50" t="s">
        <v>18</v>
      </c>
      <c r="K50" t="s">
        <v>19</v>
      </c>
    </row>
    <row r="51" spans="1:11">
      <c r="A51" s="1">
        <v>45641</v>
      </c>
      <c r="B51" t="s">
        <v>63</v>
      </c>
      <c r="C51" t="s">
        <v>64</v>
      </c>
      <c r="D51" t="s">
        <v>74</v>
      </c>
      <c r="E51" t="s">
        <v>25</v>
      </c>
      <c r="F51" t="s">
        <v>26</v>
      </c>
      <c r="G51" s="2">
        <v>162</v>
      </c>
      <c r="H51" t="s">
        <v>27</v>
      </c>
      <c r="I51" t="s">
        <v>17</v>
      </c>
      <c r="J51" t="s">
        <v>18</v>
      </c>
      <c r="K51" t="s">
        <v>19</v>
      </c>
    </row>
    <row r="52" spans="1:11">
      <c r="A52" s="1">
        <v>45641</v>
      </c>
      <c r="B52" t="s">
        <v>63</v>
      </c>
      <c r="C52" t="s">
        <v>64</v>
      </c>
      <c r="D52" t="s">
        <v>75</v>
      </c>
      <c r="E52" t="s">
        <v>25</v>
      </c>
      <c r="F52" t="s">
        <v>26</v>
      </c>
      <c r="G52" s="2">
        <v>143</v>
      </c>
      <c r="H52" t="s">
        <v>27</v>
      </c>
      <c r="I52" t="s">
        <v>17</v>
      </c>
      <c r="J52" t="s">
        <v>18</v>
      </c>
      <c r="K52" t="s">
        <v>19</v>
      </c>
    </row>
    <row r="53" spans="1:11">
      <c r="A53" s="1">
        <v>45641</v>
      </c>
      <c r="B53" t="s">
        <v>63</v>
      </c>
      <c r="C53" t="s">
        <v>64</v>
      </c>
      <c r="D53" t="s">
        <v>76</v>
      </c>
      <c r="E53" t="s">
        <v>25</v>
      </c>
      <c r="F53" t="s">
        <v>26</v>
      </c>
      <c r="G53" s="2">
        <v>162</v>
      </c>
      <c r="H53" t="s">
        <v>27</v>
      </c>
      <c r="I53" t="s">
        <v>17</v>
      </c>
      <c r="J53" t="s">
        <v>18</v>
      </c>
      <c r="K53" t="s">
        <v>19</v>
      </c>
    </row>
    <row r="54" spans="1:11">
      <c r="A54" s="1">
        <v>45641</v>
      </c>
      <c r="B54" t="s">
        <v>63</v>
      </c>
      <c r="C54" t="s">
        <v>64</v>
      </c>
      <c r="D54" t="s">
        <v>77</v>
      </c>
      <c r="E54" t="s">
        <v>25</v>
      </c>
      <c r="F54" t="s">
        <v>26</v>
      </c>
      <c r="G54" s="2">
        <v>159</v>
      </c>
      <c r="H54" t="s">
        <v>27</v>
      </c>
      <c r="I54" t="s">
        <v>17</v>
      </c>
      <c r="J54" t="s">
        <v>18</v>
      </c>
      <c r="K54" t="s">
        <v>19</v>
      </c>
    </row>
    <row r="55" spans="1:11">
      <c r="A55" s="1">
        <v>45641</v>
      </c>
      <c r="B55" t="s">
        <v>63</v>
      </c>
      <c r="C55" t="s">
        <v>64</v>
      </c>
      <c r="D55" t="s">
        <v>78</v>
      </c>
      <c r="E55" t="s">
        <v>25</v>
      </c>
      <c r="F55" t="s">
        <v>26</v>
      </c>
      <c r="G55" s="2">
        <v>150</v>
      </c>
      <c r="H55" t="s">
        <v>27</v>
      </c>
      <c r="I55" t="s">
        <v>17</v>
      </c>
      <c r="J55" t="s">
        <v>18</v>
      </c>
      <c r="K55" t="s">
        <v>19</v>
      </c>
    </row>
    <row r="56" spans="1:11">
      <c r="A56" s="1">
        <v>45641</v>
      </c>
      <c r="B56" t="s">
        <v>63</v>
      </c>
      <c r="C56" t="s">
        <v>79</v>
      </c>
      <c r="D56" t="s">
        <v>79</v>
      </c>
      <c r="E56" t="s">
        <v>25</v>
      </c>
      <c r="F56" t="s">
        <v>26</v>
      </c>
      <c r="G56" s="2">
        <v>120</v>
      </c>
      <c r="H56" t="s">
        <v>27</v>
      </c>
      <c r="I56" t="s">
        <v>17</v>
      </c>
      <c r="J56" t="s">
        <v>18</v>
      </c>
      <c r="K56" t="s">
        <v>19</v>
      </c>
    </row>
    <row r="57" spans="1:11">
      <c r="A57" s="1">
        <v>45641</v>
      </c>
      <c r="B57" t="s">
        <v>63</v>
      </c>
      <c r="C57" t="s">
        <v>79</v>
      </c>
      <c r="D57" t="s">
        <v>80</v>
      </c>
      <c r="E57" t="s">
        <v>25</v>
      </c>
      <c r="F57" t="s">
        <v>26</v>
      </c>
      <c r="G57" s="2">
        <v>143</v>
      </c>
      <c r="H57" t="s">
        <v>27</v>
      </c>
      <c r="I57" t="s">
        <v>17</v>
      </c>
      <c r="J57" t="s">
        <v>18</v>
      </c>
      <c r="K57" t="s">
        <v>19</v>
      </c>
    </row>
    <row r="58" spans="1:11">
      <c r="A58" s="1">
        <v>45641</v>
      </c>
      <c r="B58" t="s">
        <v>63</v>
      </c>
      <c r="C58" t="s">
        <v>81</v>
      </c>
      <c r="D58" t="s">
        <v>82</v>
      </c>
      <c r="E58" t="s">
        <v>25</v>
      </c>
      <c r="F58" t="s">
        <v>26</v>
      </c>
      <c r="G58" s="2">
        <v>150</v>
      </c>
      <c r="H58" t="s">
        <v>27</v>
      </c>
      <c r="I58" t="s">
        <v>17</v>
      </c>
      <c r="J58" t="s">
        <v>18</v>
      </c>
      <c r="K58" t="s">
        <v>19</v>
      </c>
    </row>
    <row r="59" spans="1:11">
      <c r="A59" s="1">
        <v>45641</v>
      </c>
      <c r="B59" t="s">
        <v>63</v>
      </c>
      <c r="C59" t="s">
        <v>81</v>
      </c>
      <c r="D59" t="s">
        <v>82</v>
      </c>
      <c r="E59" t="s">
        <v>14</v>
      </c>
      <c r="F59" t="s">
        <v>26</v>
      </c>
      <c r="G59" s="2">
        <v>70</v>
      </c>
      <c r="H59" t="s">
        <v>27</v>
      </c>
      <c r="I59" t="s">
        <v>17</v>
      </c>
      <c r="J59" t="s">
        <v>18</v>
      </c>
      <c r="K59" t="s">
        <v>19</v>
      </c>
    </row>
    <row r="60" spans="1:11">
      <c r="A60" s="1">
        <v>45641</v>
      </c>
      <c r="B60" t="s">
        <v>63</v>
      </c>
      <c r="C60" t="s">
        <v>81</v>
      </c>
      <c r="D60" t="s">
        <v>83</v>
      </c>
      <c r="E60" t="s">
        <v>25</v>
      </c>
      <c r="F60" t="s">
        <v>26</v>
      </c>
      <c r="G60" s="2">
        <v>138</v>
      </c>
      <c r="H60" t="s">
        <v>27</v>
      </c>
      <c r="I60" t="s">
        <v>17</v>
      </c>
      <c r="J60" t="s">
        <v>18</v>
      </c>
      <c r="K60" t="s">
        <v>19</v>
      </c>
    </row>
    <row r="61" spans="1:11">
      <c r="A61" s="1">
        <v>45641</v>
      </c>
      <c r="B61" t="s">
        <v>63</v>
      </c>
      <c r="C61" t="s">
        <v>81</v>
      </c>
      <c r="D61" t="s">
        <v>83</v>
      </c>
      <c r="E61" t="s">
        <v>14</v>
      </c>
      <c r="F61" t="s">
        <v>26</v>
      </c>
      <c r="G61" s="2">
        <v>55</v>
      </c>
      <c r="H61" t="s">
        <v>27</v>
      </c>
      <c r="I61" t="s">
        <v>17</v>
      </c>
      <c r="J61" t="s">
        <v>18</v>
      </c>
      <c r="K61" t="s">
        <v>19</v>
      </c>
    </row>
    <row r="62" spans="1:11">
      <c r="A62" s="1">
        <v>45641</v>
      </c>
      <c r="B62" t="s">
        <v>63</v>
      </c>
      <c r="C62" t="s">
        <v>81</v>
      </c>
      <c r="D62" t="s">
        <v>84</v>
      </c>
      <c r="E62" t="s">
        <v>25</v>
      </c>
      <c r="F62" t="s">
        <v>26</v>
      </c>
      <c r="G62" s="2">
        <v>145</v>
      </c>
      <c r="H62" t="s">
        <v>27</v>
      </c>
      <c r="I62" t="s">
        <v>17</v>
      </c>
      <c r="J62" t="s">
        <v>18</v>
      </c>
      <c r="K62" t="s">
        <v>19</v>
      </c>
    </row>
    <row r="63" spans="1:11">
      <c r="A63" s="1">
        <v>45641</v>
      </c>
      <c r="B63" t="s">
        <v>63</v>
      </c>
      <c r="C63" t="s">
        <v>81</v>
      </c>
      <c r="D63" t="s">
        <v>84</v>
      </c>
      <c r="E63" t="s">
        <v>14</v>
      </c>
      <c r="F63" t="s">
        <v>26</v>
      </c>
      <c r="G63" s="2">
        <v>120</v>
      </c>
      <c r="H63" t="s">
        <v>27</v>
      </c>
      <c r="I63" t="s">
        <v>17</v>
      </c>
      <c r="J63" t="s">
        <v>18</v>
      </c>
      <c r="K63" t="s">
        <v>19</v>
      </c>
    </row>
    <row r="64" spans="1:11">
      <c r="A64" s="1">
        <v>45641</v>
      </c>
      <c r="B64" t="s">
        <v>63</v>
      </c>
      <c r="C64" t="s">
        <v>81</v>
      </c>
      <c r="D64" t="s">
        <v>85</v>
      </c>
      <c r="E64" t="s">
        <v>25</v>
      </c>
      <c r="F64" t="s">
        <v>26</v>
      </c>
      <c r="G64" s="2">
        <v>150</v>
      </c>
      <c r="H64" t="s">
        <v>27</v>
      </c>
      <c r="I64" t="s">
        <v>17</v>
      </c>
      <c r="J64" t="s">
        <v>18</v>
      </c>
      <c r="K64" t="s">
        <v>19</v>
      </c>
    </row>
    <row r="65" spans="1:11">
      <c r="A65" s="1">
        <v>45641</v>
      </c>
      <c r="B65" t="s">
        <v>63</v>
      </c>
      <c r="C65" t="s">
        <v>81</v>
      </c>
      <c r="D65" t="s">
        <v>85</v>
      </c>
      <c r="E65" t="s">
        <v>14</v>
      </c>
      <c r="F65" t="s">
        <v>26</v>
      </c>
      <c r="G65" s="2">
        <v>80</v>
      </c>
      <c r="H65" t="s">
        <v>27</v>
      </c>
      <c r="I65" t="s">
        <v>17</v>
      </c>
      <c r="J65" t="s">
        <v>18</v>
      </c>
      <c r="K65" t="s">
        <v>19</v>
      </c>
    </row>
    <row r="66" spans="1:11">
      <c r="A66" s="1">
        <v>45641</v>
      </c>
      <c r="B66" t="s">
        <v>63</v>
      </c>
      <c r="C66" t="s">
        <v>81</v>
      </c>
      <c r="D66" t="s">
        <v>86</v>
      </c>
      <c r="E66" t="s">
        <v>25</v>
      </c>
      <c r="F66" t="s">
        <v>26</v>
      </c>
      <c r="G66" s="2">
        <v>150</v>
      </c>
      <c r="H66" t="s">
        <v>27</v>
      </c>
      <c r="I66" t="s">
        <v>17</v>
      </c>
      <c r="J66" t="s">
        <v>18</v>
      </c>
      <c r="K66" t="s">
        <v>19</v>
      </c>
    </row>
    <row r="67" spans="1:11">
      <c r="A67" s="1">
        <v>45641</v>
      </c>
      <c r="B67" t="s">
        <v>63</v>
      </c>
      <c r="C67" t="s">
        <v>81</v>
      </c>
      <c r="D67" t="s">
        <v>86</v>
      </c>
      <c r="E67" t="s">
        <v>14</v>
      </c>
      <c r="F67" t="s">
        <v>26</v>
      </c>
      <c r="G67" s="2">
        <v>140</v>
      </c>
      <c r="H67" t="s">
        <v>27</v>
      </c>
      <c r="I67" t="s">
        <v>17</v>
      </c>
      <c r="J67" t="s">
        <v>18</v>
      </c>
      <c r="K67" t="s">
        <v>19</v>
      </c>
    </row>
    <row r="68" spans="1:11">
      <c r="A68" s="1">
        <v>45641</v>
      </c>
      <c r="B68" t="s">
        <v>87</v>
      </c>
      <c r="C68" t="s">
        <v>88</v>
      </c>
      <c r="D68" t="s">
        <v>89</v>
      </c>
      <c r="E68" t="s">
        <v>14</v>
      </c>
      <c r="F68" t="s">
        <v>15</v>
      </c>
      <c r="G68" s="2">
        <v>833.5</v>
      </c>
      <c r="H68" t="s">
        <v>16</v>
      </c>
      <c r="I68" t="s">
        <v>17</v>
      </c>
      <c r="J68" t="s">
        <v>18</v>
      </c>
      <c r="K68" t="s">
        <v>19</v>
      </c>
    </row>
    <row r="69" spans="1:11">
      <c r="A69" s="1">
        <v>45641</v>
      </c>
      <c r="B69" t="s">
        <v>90</v>
      </c>
      <c r="C69" t="s">
        <v>91</v>
      </c>
      <c r="D69" t="s">
        <v>92</v>
      </c>
      <c r="E69" t="s">
        <v>25</v>
      </c>
      <c r="F69" t="s">
        <v>26</v>
      </c>
      <c r="G69" s="2">
        <v>170</v>
      </c>
      <c r="H69" t="s">
        <v>27</v>
      </c>
      <c r="I69" t="s">
        <v>17</v>
      </c>
      <c r="J69" t="s">
        <v>18</v>
      </c>
      <c r="K69" t="s">
        <v>19</v>
      </c>
    </row>
    <row r="70" spans="1:11">
      <c r="A70" s="1">
        <v>45641</v>
      </c>
      <c r="B70" t="s">
        <v>90</v>
      </c>
      <c r="C70" t="s">
        <v>93</v>
      </c>
      <c r="D70" t="s">
        <v>94</v>
      </c>
      <c r="E70" t="s">
        <v>25</v>
      </c>
      <c r="F70" t="s">
        <v>26</v>
      </c>
      <c r="G70" s="2">
        <v>150</v>
      </c>
      <c r="H70" t="s">
        <v>27</v>
      </c>
      <c r="I70" t="s">
        <v>17</v>
      </c>
      <c r="J70" t="s">
        <v>18</v>
      </c>
      <c r="K70" t="s">
        <v>19</v>
      </c>
    </row>
    <row r="71" spans="1:11">
      <c r="A71" s="1">
        <v>45641</v>
      </c>
      <c r="B71" t="s">
        <v>90</v>
      </c>
      <c r="C71" t="s">
        <v>93</v>
      </c>
      <c r="D71" t="s">
        <v>94</v>
      </c>
      <c r="E71" t="s">
        <v>14</v>
      </c>
      <c r="F71" t="s">
        <v>26</v>
      </c>
      <c r="G71" s="2">
        <v>48</v>
      </c>
      <c r="H71" t="s">
        <v>27</v>
      </c>
      <c r="I71" t="s">
        <v>17</v>
      </c>
      <c r="J71" t="s">
        <v>18</v>
      </c>
      <c r="K71" t="s">
        <v>19</v>
      </c>
    </row>
    <row r="72" spans="1:11">
      <c r="A72" s="1">
        <v>45641</v>
      </c>
      <c r="B72" t="s">
        <v>90</v>
      </c>
      <c r="C72" t="s">
        <v>93</v>
      </c>
      <c r="D72" t="s">
        <v>95</v>
      </c>
      <c r="E72" t="s">
        <v>25</v>
      </c>
      <c r="F72" t="s">
        <v>26</v>
      </c>
      <c r="G72" s="2">
        <v>143</v>
      </c>
      <c r="H72" t="s">
        <v>27</v>
      </c>
      <c r="I72" t="s">
        <v>17</v>
      </c>
      <c r="J72" t="s">
        <v>18</v>
      </c>
      <c r="K72" t="s">
        <v>19</v>
      </c>
    </row>
    <row r="73" spans="1:11">
      <c r="A73" s="1">
        <v>45641</v>
      </c>
      <c r="B73" t="s">
        <v>90</v>
      </c>
      <c r="C73" t="s">
        <v>93</v>
      </c>
      <c r="D73" t="s">
        <v>95</v>
      </c>
      <c r="E73" t="s">
        <v>14</v>
      </c>
      <c r="F73" t="s">
        <v>26</v>
      </c>
      <c r="G73" s="2">
        <v>40</v>
      </c>
      <c r="H73" t="s">
        <v>27</v>
      </c>
      <c r="I73" t="s">
        <v>17</v>
      </c>
      <c r="J73" t="s">
        <v>18</v>
      </c>
      <c r="K73" t="s">
        <v>19</v>
      </c>
    </row>
    <row r="74" spans="1:11">
      <c r="A74" s="1">
        <v>45641</v>
      </c>
      <c r="B74" t="s">
        <v>90</v>
      </c>
      <c r="C74" t="s">
        <v>93</v>
      </c>
      <c r="D74" t="s">
        <v>96</v>
      </c>
      <c r="E74" t="s">
        <v>25</v>
      </c>
      <c r="F74" t="s">
        <v>26</v>
      </c>
      <c r="G74" s="2">
        <v>170</v>
      </c>
      <c r="H74" t="s">
        <v>27</v>
      </c>
      <c r="I74" t="s">
        <v>17</v>
      </c>
      <c r="J74" t="s">
        <v>18</v>
      </c>
      <c r="K74" t="s">
        <v>19</v>
      </c>
    </row>
    <row r="75" spans="1:11">
      <c r="A75" s="1">
        <v>45641</v>
      </c>
      <c r="B75" t="s">
        <v>90</v>
      </c>
      <c r="C75" t="s">
        <v>93</v>
      </c>
      <c r="D75" t="s">
        <v>97</v>
      </c>
      <c r="E75" t="s">
        <v>25</v>
      </c>
      <c r="F75" t="s">
        <v>26</v>
      </c>
      <c r="G75" s="2">
        <v>155</v>
      </c>
      <c r="H75" t="s">
        <v>27</v>
      </c>
      <c r="I75" t="s">
        <v>17</v>
      </c>
      <c r="J75" t="s">
        <v>18</v>
      </c>
      <c r="K75" t="s">
        <v>19</v>
      </c>
    </row>
    <row r="76" spans="1:11">
      <c r="A76" s="1">
        <v>45641</v>
      </c>
      <c r="B76" t="s">
        <v>90</v>
      </c>
      <c r="C76" t="s">
        <v>93</v>
      </c>
      <c r="D76" t="s">
        <v>98</v>
      </c>
      <c r="E76" t="s">
        <v>25</v>
      </c>
      <c r="F76" t="s">
        <v>26</v>
      </c>
      <c r="G76" s="2">
        <v>160</v>
      </c>
      <c r="H76" t="s">
        <v>27</v>
      </c>
      <c r="I76" t="s">
        <v>17</v>
      </c>
      <c r="J76" t="s">
        <v>18</v>
      </c>
      <c r="K76" t="s">
        <v>19</v>
      </c>
    </row>
    <row r="77" spans="1:11">
      <c r="A77" s="1">
        <v>45641</v>
      </c>
      <c r="B77" t="s">
        <v>90</v>
      </c>
      <c r="C77" t="s">
        <v>93</v>
      </c>
      <c r="D77" t="s">
        <v>99</v>
      </c>
      <c r="E77" t="s">
        <v>25</v>
      </c>
      <c r="F77" t="s">
        <v>26</v>
      </c>
      <c r="G77" s="2">
        <v>148</v>
      </c>
      <c r="H77" t="s">
        <v>27</v>
      </c>
      <c r="I77" t="s">
        <v>17</v>
      </c>
      <c r="J77" t="s">
        <v>18</v>
      </c>
      <c r="K77" t="s">
        <v>19</v>
      </c>
    </row>
    <row r="78" spans="1:11">
      <c r="A78" s="1">
        <v>45641</v>
      </c>
      <c r="B78" t="s">
        <v>90</v>
      </c>
      <c r="C78" t="s">
        <v>93</v>
      </c>
      <c r="D78" t="s">
        <v>100</v>
      </c>
      <c r="E78" t="s">
        <v>25</v>
      </c>
      <c r="F78" t="s">
        <v>26</v>
      </c>
      <c r="G78" s="2">
        <v>160</v>
      </c>
      <c r="H78" t="s">
        <v>27</v>
      </c>
      <c r="I78" t="s">
        <v>17</v>
      </c>
      <c r="J78" t="s">
        <v>18</v>
      </c>
      <c r="K78" t="s">
        <v>19</v>
      </c>
    </row>
    <row r="79" spans="1:11">
      <c r="A79" s="1">
        <v>45641</v>
      </c>
      <c r="B79" t="s">
        <v>90</v>
      </c>
      <c r="C79" t="s">
        <v>93</v>
      </c>
      <c r="D79" t="s">
        <v>100</v>
      </c>
      <c r="E79" t="s">
        <v>14</v>
      </c>
      <c r="F79" t="s">
        <v>26</v>
      </c>
      <c r="G79" s="2">
        <v>57</v>
      </c>
      <c r="H79" t="s">
        <v>27</v>
      </c>
      <c r="I79" t="s">
        <v>17</v>
      </c>
      <c r="J79" t="s">
        <v>18</v>
      </c>
      <c r="K79" t="s">
        <v>19</v>
      </c>
    </row>
    <row r="80" spans="1:11">
      <c r="A80" s="1">
        <v>45641</v>
      </c>
      <c r="B80" t="s">
        <v>90</v>
      </c>
      <c r="C80" t="s">
        <v>93</v>
      </c>
      <c r="D80" t="s">
        <v>101</v>
      </c>
      <c r="E80" t="s">
        <v>25</v>
      </c>
      <c r="F80" t="s">
        <v>26</v>
      </c>
      <c r="G80" s="2">
        <v>141</v>
      </c>
      <c r="H80" t="s">
        <v>27</v>
      </c>
      <c r="I80" t="s">
        <v>17</v>
      </c>
      <c r="J80" t="s">
        <v>18</v>
      </c>
      <c r="K80" t="s">
        <v>19</v>
      </c>
    </row>
    <row r="81" spans="1:11">
      <c r="A81" s="1">
        <v>45641</v>
      </c>
      <c r="B81" t="s">
        <v>90</v>
      </c>
      <c r="C81" t="s">
        <v>93</v>
      </c>
      <c r="D81" t="s">
        <v>101</v>
      </c>
      <c r="E81" t="s">
        <v>14</v>
      </c>
      <c r="F81" t="s">
        <v>26</v>
      </c>
      <c r="G81" s="2">
        <v>60</v>
      </c>
      <c r="H81" t="s">
        <v>27</v>
      </c>
      <c r="I81" t="s">
        <v>17</v>
      </c>
      <c r="J81" t="s">
        <v>18</v>
      </c>
      <c r="K81" t="s">
        <v>19</v>
      </c>
    </row>
    <row r="82" spans="1:11">
      <c r="A82" s="1">
        <v>45641</v>
      </c>
      <c r="B82" t="s">
        <v>90</v>
      </c>
      <c r="C82" t="s">
        <v>93</v>
      </c>
      <c r="D82" t="s">
        <v>102</v>
      </c>
      <c r="E82" t="s">
        <v>25</v>
      </c>
      <c r="F82" t="s">
        <v>26</v>
      </c>
      <c r="G82" s="2">
        <v>173</v>
      </c>
      <c r="H82" t="s">
        <v>27</v>
      </c>
      <c r="I82" t="s">
        <v>17</v>
      </c>
      <c r="J82" t="s">
        <v>18</v>
      </c>
      <c r="K82" t="s">
        <v>19</v>
      </c>
    </row>
    <row r="83" spans="1:11">
      <c r="A83" s="1">
        <v>45641</v>
      </c>
      <c r="B83" t="s">
        <v>90</v>
      </c>
      <c r="C83" t="s">
        <v>93</v>
      </c>
      <c r="D83" t="s">
        <v>103</v>
      </c>
      <c r="E83" t="s">
        <v>25</v>
      </c>
      <c r="F83" t="s">
        <v>26</v>
      </c>
      <c r="G83" s="2">
        <v>148.5</v>
      </c>
      <c r="H83" t="s">
        <v>27</v>
      </c>
      <c r="I83" t="s">
        <v>17</v>
      </c>
      <c r="J83" t="s">
        <v>18</v>
      </c>
      <c r="K83" t="s">
        <v>19</v>
      </c>
    </row>
    <row r="84" spans="1:11">
      <c r="A84" s="1">
        <v>45641</v>
      </c>
      <c r="B84" t="s">
        <v>90</v>
      </c>
      <c r="C84" t="s">
        <v>104</v>
      </c>
      <c r="D84" t="s">
        <v>105</v>
      </c>
      <c r="E84" t="s">
        <v>25</v>
      </c>
      <c r="F84" t="s">
        <v>26</v>
      </c>
      <c r="G84" s="2">
        <v>220</v>
      </c>
      <c r="H84" t="s">
        <v>27</v>
      </c>
      <c r="I84" t="s">
        <v>17</v>
      </c>
      <c r="J84" t="s">
        <v>18</v>
      </c>
      <c r="K84" t="s">
        <v>19</v>
      </c>
    </row>
    <row r="85" spans="1:11">
      <c r="A85" s="1">
        <v>45641</v>
      </c>
      <c r="B85" t="s">
        <v>90</v>
      </c>
      <c r="C85" t="s">
        <v>104</v>
      </c>
      <c r="D85" t="s">
        <v>106</v>
      </c>
      <c r="E85" t="s">
        <v>25</v>
      </c>
      <c r="F85" t="s">
        <v>26</v>
      </c>
      <c r="G85" s="2">
        <v>180</v>
      </c>
      <c r="H85" t="s">
        <v>27</v>
      </c>
      <c r="I85" t="s">
        <v>17</v>
      </c>
      <c r="J85" t="s">
        <v>18</v>
      </c>
      <c r="K85" t="s">
        <v>19</v>
      </c>
    </row>
    <row r="86" spans="1:11">
      <c r="A86" s="1">
        <v>45641</v>
      </c>
      <c r="B86" t="s">
        <v>90</v>
      </c>
      <c r="C86" t="s">
        <v>104</v>
      </c>
      <c r="D86" t="s">
        <v>107</v>
      </c>
      <c r="E86" t="s">
        <v>25</v>
      </c>
      <c r="F86" t="s">
        <v>26</v>
      </c>
      <c r="G86" s="2">
        <v>180</v>
      </c>
      <c r="H86" t="s">
        <v>27</v>
      </c>
      <c r="I86" t="s">
        <v>17</v>
      </c>
      <c r="J86" t="s">
        <v>18</v>
      </c>
      <c r="K86" t="s">
        <v>19</v>
      </c>
    </row>
    <row r="87" spans="1:11">
      <c r="A87" s="1">
        <v>45641</v>
      </c>
      <c r="B87" t="s">
        <v>90</v>
      </c>
      <c r="C87" t="s">
        <v>104</v>
      </c>
      <c r="D87" t="s">
        <v>108</v>
      </c>
      <c r="E87" t="s">
        <v>14</v>
      </c>
      <c r="F87" t="s">
        <v>26</v>
      </c>
      <c r="G87" s="2">
        <v>90</v>
      </c>
      <c r="H87" t="s">
        <v>27</v>
      </c>
      <c r="I87" t="s">
        <v>17</v>
      </c>
      <c r="J87" t="s">
        <v>18</v>
      </c>
      <c r="K87" t="s">
        <v>19</v>
      </c>
    </row>
    <row r="88" spans="1:11">
      <c r="A88" s="1">
        <v>45641</v>
      </c>
      <c r="B88" t="s">
        <v>90</v>
      </c>
      <c r="C88" t="s">
        <v>104</v>
      </c>
      <c r="D88" t="s">
        <v>109</v>
      </c>
      <c r="E88" t="s">
        <v>14</v>
      </c>
      <c r="F88" t="s">
        <v>26</v>
      </c>
      <c r="G88" s="2">
        <v>100</v>
      </c>
      <c r="H88" t="s">
        <v>27</v>
      </c>
      <c r="I88" t="s">
        <v>17</v>
      </c>
      <c r="J88" t="s">
        <v>18</v>
      </c>
      <c r="K88" t="s">
        <v>19</v>
      </c>
    </row>
    <row r="89" spans="1:11">
      <c r="A89" s="1">
        <v>45641</v>
      </c>
      <c r="B89" t="s">
        <v>90</v>
      </c>
      <c r="C89" t="s">
        <v>104</v>
      </c>
      <c r="D89" t="s">
        <v>110</v>
      </c>
      <c r="E89" t="s">
        <v>25</v>
      </c>
      <c r="F89" t="s">
        <v>26</v>
      </c>
      <c r="G89" s="2">
        <v>200</v>
      </c>
      <c r="H89" t="s">
        <v>27</v>
      </c>
      <c r="I89" t="s">
        <v>17</v>
      </c>
      <c r="J89" t="s">
        <v>18</v>
      </c>
      <c r="K89" t="s">
        <v>19</v>
      </c>
    </row>
    <row r="90" spans="1:11">
      <c r="A90" s="1">
        <v>45641</v>
      </c>
      <c r="B90" t="s">
        <v>90</v>
      </c>
      <c r="C90" t="s">
        <v>104</v>
      </c>
      <c r="D90" t="s">
        <v>111</v>
      </c>
      <c r="E90" t="s">
        <v>25</v>
      </c>
      <c r="F90" t="s">
        <v>26</v>
      </c>
      <c r="G90" s="2">
        <v>183.5</v>
      </c>
      <c r="H90" t="s">
        <v>27</v>
      </c>
      <c r="I90" t="s">
        <v>17</v>
      </c>
      <c r="J90" t="s">
        <v>18</v>
      </c>
      <c r="K90" t="s">
        <v>19</v>
      </c>
    </row>
    <row r="91" spans="1:11">
      <c r="A91" s="1">
        <v>45641</v>
      </c>
      <c r="B91" t="s">
        <v>90</v>
      </c>
      <c r="C91" t="s">
        <v>104</v>
      </c>
      <c r="D91" t="s">
        <v>112</v>
      </c>
      <c r="E91" t="s">
        <v>14</v>
      </c>
      <c r="F91" t="s">
        <v>26</v>
      </c>
      <c r="G91" s="2">
        <v>120</v>
      </c>
      <c r="H91" t="s">
        <v>27</v>
      </c>
      <c r="I91" t="s">
        <v>17</v>
      </c>
      <c r="J91" t="s">
        <v>18</v>
      </c>
      <c r="K91" t="s">
        <v>19</v>
      </c>
    </row>
    <row r="92" spans="1:11">
      <c r="A92" s="1">
        <v>45641</v>
      </c>
      <c r="B92" t="s">
        <v>90</v>
      </c>
      <c r="C92" t="s">
        <v>104</v>
      </c>
      <c r="D92" t="s">
        <v>113</v>
      </c>
      <c r="E92" t="s">
        <v>14</v>
      </c>
      <c r="F92" t="s">
        <v>26</v>
      </c>
      <c r="G92" s="2">
        <v>138</v>
      </c>
      <c r="H92" t="s">
        <v>27</v>
      </c>
      <c r="I92" t="s">
        <v>17</v>
      </c>
      <c r="J92" t="s">
        <v>18</v>
      </c>
      <c r="K92" t="s">
        <v>19</v>
      </c>
    </row>
    <row r="93" spans="1:11">
      <c r="A93" s="1">
        <v>45641</v>
      </c>
      <c r="B93" t="s">
        <v>90</v>
      </c>
      <c r="C93" t="s">
        <v>104</v>
      </c>
      <c r="D93" t="s">
        <v>114</v>
      </c>
      <c r="E93" t="s">
        <v>14</v>
      </c>
      <c r="F93" t="s">
        <v>26</v>
      </c>
      <c r="G93" s="2">
        <v>53</v>
      </c>
      <c r="H93" t="s">
        <v>27</v>
      </c>
      <c r="I93" t="s">
        <v>17</v>
      </c>
      <c r="J93" t="s">
        <v>18</v>
      </c>
      <c r="K93" t="s">
        <v>19</v>
      </c>
    </row>
    <row r="94" spans="1:11">
      <c r="A94" s="1">
        <v>45641</v>
      </c>
      <c r="B94" t="s">
        <v>90</v>
      </c>
      <c r="C94" t="s">
        <v>104</v>
      </c>
      <c r="D94" t="s">
        <v>115</v>
      </c>
      <c r="E94" t="s">
        <v>25</v>
      </c>
      <c r="F94" t="s">
        <v>26</v>
      </c>
      <c r="G94" s="2">
        <v>146</v>
      </c>
      <c r="H94" t="s">
        <v>27</v>
      </c>
      <c r="I94" t="s">
        <v>17</v>
      </c>
      <c r="J94" t="s">
        <v>18</v>
      </c>
      <c r="K94" t="s">
        <v>19</v>
      </c>
    </row>
    <row r="95" spans="1:11">
      <c r="A95" s="1">
        <v>45641</v>
      </c>
      <c r="B95" t="s">
        <v>90</v>
      </c>
      <c r="C95" t="s">
        <v>104</v>
      </c>
      <c r="D95" t="s">
        <v>116</v>
      </c>
      <c r="E95" t="s">
        <v>25</v>
      </c>
      <c r="F95" t="s">
        <v>26</v>
      </c>
      <c r="G95" s="2">
        <v>193</v>
      </c>
      <c r="H95" t="s">
        <v>27</v>
      </c>
      <c r="I95" t="s">
        <v>17</v>
      </c>
      <c r="J95" t="s">
        <v>18</v>
      </c>
      <c r="K95" t="s">
        <v>19</v>
      </c>
    </row>
    <row r="96" spans="1:11">
      <c r="A96" s="1">
        <v>45641</v>
      </c>
      <c r="B96" t="s">
        <v>90</v>
      </c>
      <c r="C96" t="s">
        <v>104</v>
      </c>
      <c r="D96" t="s">
        <v>117</v>
      </c>
      <c r="E96" t="s">
        <v>25</v>
      </c>
      <c r="F96" t="s">
        <v>26</v>
      </c>
      <c r="G96" s="2">
        <v>193</v>
      </c>
      <c r="H96" t="s">
        <v>27</v>
      </c>
      <c r="I96" t="s">
        <v>17</v>
      </c>
      <c r="J96" t="s">
        <v>18</v>
      </c>
      <c r="K96" t="s">
        <v>19</v>
      </c>
    </row>
    <row r="97" spans="1:11">
      <c r="A97" s="1">
        <v>45641</v>
      </c>
      <c r="B97" t="s">
        <v>90</v>
      </c>
      <c r="C97" t="s">
        <v>104</v>
      </c>
      <c r="D97" t="s">
        <v>118</v>
      </c>
      <c r="E97" t="s">
        <v>14</v>
      </c>
      <c r="F97" t="s">
        <v>26</v>
      </c>
      <c r="G97" s="2">
        <v>50</v>
      </c>
      <c r="H97" t="s">
        <v>27</v>
      </c>
      <c r="I97" t="s">
        <v>17</v>
      </c>
      <c r="J97" t="s">
        <v>18</v>
      </c>
      <c r="K97" t="s">
        <v>19</v>
      </c>
    </row>
    <row r="98" spans="1:11">
      <c r="A98" s="1">
        <v>45641</v>
      </c>
      <c r="B98" t="s">
        <v>90</v>
      </c>
      <c r="C98" t="s">
        <v>104</v>
      </c>
      <c r="D98" t="s">
        <v>119</v>
      </c>
      <c r="E98" t="s">
        <v>14</v>
      </c>
      <c r="F98" t="s">
        <v>26</v>
      </c>
      <c r="G98" s="2">
        <v>50</v>
      </c>
      <c r="H98" t="s">
        <v>27</v>
      </c>
      <c r="I98" t="s">
        <v>17</v>
      </c>
      <c r="J98" t="s">
        <v>18</v>
      </c>
      <c r="K98" t="s">
        <v>19</v>
      </c>
    </row>
    <row r="99" spans="1:11">
      <c r="A99" s="1">
        <v>45641</v>
      </c>
      <c r="B99" t="s">
        <v>90</v>
      </c>
      <c r="C99" t="s">
        <v>104</v>
      </c>
      <c r="D99" t="s">
        <v>120</v>
      </c>
      <c r="E99" t="s">
        <v>14</v>
      </c>
      <c r="F99" t="s">
        <v>26</v>
      </c>
      <c r="G99" s="2">
        <v>70</v>
      </c>
      <c r="H99" t="s">
        <v>27</v>
      </c>
      <c r="I99" t="s">
        <v>17</v>
      </c>
      <c r="J99" t="s">
        <v>18</v>
      </c>
      <c r="K99" t="s">
        <v>19</v>
      </c>
    </row>
    <row r="100" spans="1:11">
      <c r="A100" s="1">
        <v>45641</v>
      </c>
      <c r="B100" t="s">
        <v>90</v>
      </c>
      <c r="C100" t="s">
        <v>104</v>
      </c>
      <c r="D100" t="s">
        <v>121</v>
      </c>
      <c r="E100" t="s">
        <v>25</v>
      </c>
      <c r="F100" t="s">
        <v>26</v>
      </c>
      <c r="G100" s="2">
        <v>150</v>
      </c>
      <c r="H100" t="s">
        <v>27</v>
      </c>
      <c r="I100" t="s">
        <v>17</v>
      </c>
      <c r="J100" t="s">
        <v>18</v>
      </c>
      <c r="K100" t="s">
        <v>19</v>
      </c>
    </row>
    <row r="101" spans="1:11">
      <c r="A101" s="1">
        <v>45641</v>
      </c>
      <c r="B101" t="s">
        <v>90</v>
      </c>
      <c r="C101" t="s">
        <v>104</v>
      </c>
      <c r="D101" t="s">
        <v>122</v>
      </c>
      <c r="E101" t="s">
        <v>25</v>
      </c>
      <c r="F101" t="s">
        <v>26</v>
      </c>
      <c r="G101" s="2">
        <v>182</v>
      </c>
      <c r="H101" t="s">
        <v>27</v>
      </c>
      <c r="I101" t="s">
        <v>17</v>
      </c>
      <c r="J101" t="s">
        <v>18</v>
      </c>
      <c r="K101" t="s">
        <v>19</v>
      </c>
    </row>
    <row r="102" spans="1:11">
      <c r="A102" s="1">
        <v>45641</v>
      </c>
      <c r="B102" t="s">
        <v>90</v>
      </c>
      <c r="C102" t="s">
        <v>104</v>
      </c>
      <c r="D102" t="s">
        <v>123</v>
      </c>
      <c r="E102" t="s">
        <v>25</v>
      </c>
      <c r="F102" t="s">
        <v>26</v>
      </c>
      <c r="G102" s="2">
        <v>154</v>
      </c>
      <c r="H102" t="s">
        <v>27</v>
      </c>
      <c r="I102" t="s">
        <v>17</v>
      </c>
      <c r="J102" t="s">
        <v>18</v>
      </c>
      <c r="K102" t="s">
        <v>19</v>
      </c>
    </row>
    <row r="103" spans="1:11">
      <c r="A103" s="1">
        <v>45641</v>
      </c>
      <c r="B103" t="s">
        <v>90</v>
      </c>
      <c r="C103" t="s">
        <v>104</v>
      </c>
      <c r="D103" t="s">
        <v>124</v>
      </c>
      <c r="E103" t="s">
        <v>25</v>
      </c>
      <c r="F103" t="s">
        <v>26</v>
      </c>
      <c r="G103" s="2">
        <v>200</v>
      </c>
      <c r="H103" t="s">
        <v>27</v>
      </c>
      <c r="I103" t="s">
        <v>17</v>
      </c>
      <c r="J103" t="s">
        <v>18</v>
      </c>
      <c r="K103" t="s">
        <v>19</v>
      </c>
    </row>
    <row r="104" spans="1:11">
      <c r="A104" s="1">
        <v>45641</v>
      </c>
      <c r="B104" t="s">
        <v>90</v>
      </c>
      <c r="C104" t="s">
        <v>104</v>
      </c>
      <c r="D104" t="s">
        <v>125</v>
      </c>
      <c r="E104" t="s">
        <v>25</v>
      </c>
      <c r="F104" t="s">
        <v>26</v>
      </c>
      <c r="G104" s="2">
        <v>160</v>
      </c>
      <c r="H104" t="s">
        <v>27</v>
      </c>
      <c r="I104" t="s">
        <v>17</v>
      </c>
      <c r="J104" t="s">
        <v>18</v>
      </c>
      <c r="K104" t="s">
        <v>19</v>
      </c>
    </row>
    <row r="105" spans="1:11">
      <c r="A105" s="1">
        <v>45641</v>
      </c>
      <c r="B105" t="s">
        <v>90</v>
      </c>
      <c r="C105" t="s">
        <v>104</v>
      </c>
      <c r="D105" t="s">
        <v>126</v>
      </c>
      <c r="E105" t="s">
        <v>25</v>
      </c>
      <c r="F105" t="s">
        <v>26</v>
      </c>
      <c r="G105" s="2">
        <v>190</v>
      </c>
      <c r="H105" t="s">
        <v>27</v>
      </c>
      <c r="I105" t="s">
        <v>17</v>
      </c>
      <c r="J105" t="s">
        <v>18</v>
      </c>
      <c r="K105" t="s">
        <v>19</v>
      </c>
    </row>
    <row r="106" spans="1:11">
      <c r="A106" s="1">
        <v>45641</v>
      </c>
      <c r="B106" t="s">
        <v>90</v>
      </c>
      <c r="C106" t="s">
        <v>104</v>
      </c>
      <c r="D106" t="s">
        <v>127</v>
      </c>
      <c r="E106" t="s">
        <v>25</v>
      </c>
      <c r="F106" t="s">
        <v>26</v>
      </c>
      <c r="G106" s="2">
        <v>158</v>
      </c>
      <c r="H106" t="s">
        <v>27</v>
      </c>
      <c r="I106" t="s">
        <v>17</v>
      </c>
      <c r="J106" t="s">
        <v>18</v>
      </c>
      <c r="K106" t="s">
        <v>19</v>
      </c>
    </row>
    <row r="107" spans="1:11">
      <c r="A107" s="1">
        <v>45641</v>
      </c>
      <c r="B107" t="s">
        <v>90</v>
      </c>
      <c r="C107" t="s">
        <v>104</v>
      </c>
      <c r="D107" t="s">
        <v>128</v>
      </c>
      <c r="E107" t="s">
        <v>25</v>
      </c>
      <c r="F107" t="s">
        <v>26</v>
      </c>
      <c r="G107" s="2">
        <v>152</v>
      </c>
      <c r="H107" t="s">
        <v>27</v>
      </c>
      <c r="I107" t="s">
        <v>17</v>
      </c>
      <c r="J107" t="s">
        <v>18</v>
      </c>
      <c r="K107" t="s">
        <v>19</v>
      </c>
    </row>
    <row r="108" spans="1:11">
      <c r="A108" s="1">
        <v>45641</v>
      </c>
      <c r="B108" t="s">
        <v>90</v>
      </c>
      <c r="C108" t="s">
        <v>104</v>
      </c>
      <c r="D108" t="s">
        <v>128</v>
      </c>
      <c r="E108" t="s">
        <v>14</v>
      </c>
      <c r="F108" t="s">
        <v>26</v>
      </c>
      <c r="G108" s="2">
        <v>120</v>
      </c>
      <c r="H108" t="s">
        <v>27</v>
      </c>
      <c r="I108" t="s">
        <v>17</v>
      </c>
      <c r="J108" t="s">
        <v>18</v>
      </c>
      <c r="K108" t="s">
        <v>19</v>
      </c>
    </row>
    <row r="109" spans="1:11">
      <c r="A109" s="1">
        <v>45641</v>
      </c>
      <c r="B109" t="s">
        <v>90</v>
      </c>
      <c r="C109" t="s">
        <v>104</v>
      </c>
      <c r="D109" t="s">
        <v>129</v>
      </c>
      <c r="E109" t="s">
        <v>25</v>
      </c>
      <c r="F109" t="s">
        <v>26</v>
      </c>
      <c r="G109" s="2">
        <v>153</v>
      </c>
      <c r="H109" t="s">
        <v>27</v>
      </c>
      <c r="I109" t="s">
        <v>17</v>
      </c>
      <c r="J109" t="s">
        <v>18</v>
      </c>
      <c r="K109" t="s">
        <v>19</v>
      </c>
    </row>
    <row r="110" spans="1:11">
      <c r="A110" s="1">
        <v>45641</v>
      </c>
      <c r="B110" t="s">
        <v>90</v>
      </c>
      <c r="C110" t="s">
        <v>104</v>
      </c>
      <c r="D110" t="s">
        <v>129</v>
      </c>
      <c r="E110" t="s">
        <v>14</v>
      </c>
      <c r="F110" t="s">
        <v>26</v>
      </c>
      <c r="G110" s="2">
        <v>100</v>
      </c>
      <c r="H110" t="s">
        <v>27</v>
      </c>
      <c r="I110" t="s">
        <v>17</v>
      </c>
      <c r="J110" t="s">
        <v>18</v>
      </c>
      <c r="K110" t="s">
        <v>19</v>
      </c>
    </row>
    <row r="111" spans="1:11">
      <c r="A111" s="1">
        <v>45641</v>
      </c>
      <c r="B111" t="s">
        <v>90</v>
      </c>
      <c r="C111" t="s">
        <v>104</v>
      </c>
      <c r="D111" t="s">
        <v>130</v>
      </c>
      <c r="E111" t="s">
        <v>25</v>
      </c>
      <c r="F111" t="s">
        <v>26</v>
      </c>
      <c r="G111" s="2">
        <v>198</v>
      </c>
      <c r="H111" t="s">
        <v>27</v>
      </c>
      <c r="I111" t="s">
        <v>17</v>
      </c>
      <c r="J111" t="s">
        <v>18</v>
      </c>
      <c r="K111" t="s">
        <v>19</v>
      </c>
    </row>
    <row r="112" spans="1:11">
      <c r="A112" s="1">
        <v>45641</v>
      </c>
      <c r="B112" t="s">
        <v>90</v>
      </c>
      <c r="C112" t="s">
        <v>104</v>
      </c>
      <c r="D112" t="s">
        <v>131</v>
      </c>
      <c r="E112" t="s">
        <v>25</v>
      </c>
      <c r="F112" t="s">
        <v>26</v>
      </c>
      <c r="G112" s="2">
        <v>200</v>
      </c>
      <c r="H112" t="s">
        <v>27</v>
      </c>
      <c r="I112" t="s">
        <v>17</v>
      </c>
      <c r="J112" t="s">
        <v>18</v>
      </c>
      <c r="K112" t="s">
        <v>19</v>
      </c>
    </row>
    <row r="113" spans="1:11">
      <c r="A113" s="1">
        <v>45641</v>
      </c>
      <c r="B113" t="s">
        <v>90</v>
      </c>
      <c r="C113" t="s">
        <v>104</v>
      </c>
      <c r="D113" t="s">
        <v>132</v>
      </c>
      <c r="E113" t="s">
        <v>25</v>
      </c>
      <c r="F113" t="s">
        <v>26</v>
      </c>
      <c r="G113" s="2">
        <v>191</v>
      </c>
      <c r="H113" t="s">
        <v>27</v>
      </c>
      <c r="I113" t="s">
        <v>17</v>
      </c>
      <c r="J113" t="s">
        <v>18</v>
      </c>
      <c r="K113" t="s">
        <v>19</v>
      </c>
    </row>
    <row r="114" spans="1:11">
      <c r="A114" s="1">
        <v>45641</v>
      </c>
      <c r="B114" t="s">
        <v>90</v>
      </c>
      <c r="C114" t="s">
        <v>104</v>
      </c>
      <c r="D114" t="s">
        <v>133</v>
      </c>
      <c r="E114" t="s">
        <v>25</v>
      </c>
      <c r="F114" t="s">
        <v>26</v>
      </c>
      <c r="G114" s="2">
        <v>151</v>
      </c>
      <c r="H114" t="s">
        <v>27</v>
      </c>
      <c r="I114" t="s">
        <v>17</v>
      </c>
      <c r="J114" t="s">
        <v>18</v>
      </c>
      <c r="K114" t="s">
        <v>19</v>
      </c>
    </row>
    <row r="115" spans="1:11">
      <c r="A115" s="1">
        <v>45641</v>
      </c>
      <c r="B115" t="s">
        <v>90</v>
      </c>
      <c r="C115" t="s">
        <v>104</v>
      </c>
      <c r="D115" t="s">
        <v>134</v>
      </c>
      <c r="E115" t="s">
        <v>25</v>
      </c>
      <c r="F115" t="s">
        <v>26</v>
      </c>
      <c r="G115" s="2">
        <v>171</v>
      </c>
      <c r="H115" t="s">
        <v>27</v>
      </c>
      <c r="I115" t="s">
        <v>17</v>
      </c>
      <c r="J115" t="s">
        <v>18</v>
      </c>
      <c r="K115" t="s">
        <v>19</v>
      </c>
    </row>
    <row r="116" spans="1:11">
      <c r="A116" s="1">
        <v>45641</v>
      </c>
      <c r="B116" t="s">
        <v>90</v>
      </c>
      <c r="C116" t="s">
        <v>104</v>
      </c>
      <c r="D116" t="s">
        <v>135</v>
      </c>
      <c r="E116" t="s">
        <v>25</v>
      </c>
      <c r="F116" t="s">
        <v>26</v>
      </c>
      <c r="G116" s="2">
        <v>148</v>
      </c>
      <c r="H116" t="s">
        <v>27</v>
      </c>
      <c r="I116" t="s">
        <v>17</v>
      </c>
      <c r="J116" t="s">
        <v>18</v>
      </c>
      <c r="K116" t="s">
        <v>19</v>
      </c>
    </row>
    <row r="117" spans="1:11">
      <c r="A117" s="1">
        <v>45641</v>
      </c>
      <c r="B117" t="s">
        <v>90</v>
      </c>
      <c r="C117" t="s">
        <v>104</v>
      </c>
      <c r="D117" t="s">
        <v>136</v>
      </c>
      <c r="E117" t="s">
        <v>25</v>
      </c>
      <c r="F117" t="s">
        <v>26</v>
      </c>
      <c r="G117" s="2">
        <v>165</v>
      </c>
      <c r="H117" t="s">
        <v>27</v>
      </c>
      <c r="I117" t="s">
        <v>17</v>
      </c>
      <c r="J117" t="s">
        <v>18</v>
      </c>
      <c r="K117" t="s">
        <v>19</v>
      </c>
    </row>
    <row r="118" spans="1:11">
      <c r="A118" s="1">
        <v>45641</v>
      </c>
      <c r="B118" t="s">
        <v>90</v>
      </c>
      <c r="C118" t="s">
        <v>104</v>
      </c>
      <c r="D118" t="s">
        <v>137</v>
      </c>
      <c r="E118" t="s">
        <v>25</v>
      </c>
      <c r="F118" t="s">
        <v>26</v>
      </c>
      <c r="G118" s="2">
        <v>182.5</v>
      </c>
      <c r="H118" t="s">
        <v>27</v>
      </c>
      <c r="I118" t="s">
        <v>17</v>
      </c>
      <c r="J118" t="s">
        <v>18</v>
      </c>
      <c r="K118" t="s">
        <v>19</v>
      </c>
    </row>
    <row r="119" spans="1:11">
      <c r="A119" s="1">
        <v>45641</v>
      </c>
      <c r="B119" t="s">
        <v>90</v>
      </c>
      <c r="C119" t="s">
        <v>104</v>
      </c>
      <c r="D119" t="s">
        <v>138</v>
      </c>
      <c r="E119" t="s">
        <v>25</v>
      </c>
      <c r="F119" t="s">
        <v>26</v>
      </c>
      <c r="G119" s="2">
        <v>173</v>
      </c>
      <c r="H119" t="s">
        <v>27</v>
      </c>
      <c r="I119" t="s">
        <v>17</v>
      </c>
      <c r="J119" t="s">
        <v>18</v>
      </c>
      <c r="K119" t="s">
        <v>19</v>
      </c>
    </row>
    <row r="120" spans="1:11">
      <c r="A120" s="1">
        <v>45641</v>
      </c>
      <c r="B120" t="s">
        <v>90</v>
      </c>
      <c r="C120" t="s">
        <v>104</v>
      </c>
      <c r="D120" t="s">
        <v>139</v>
      </c>
      <c r="E120" t="s">
        <v>25</v>
      </c>
      <c r="F120" t="s">
        <v>26</v>
      </c>
      <c r="G120" s="2">
        <v>187</v>
      </c>
      <c r="H120" t="s">
        <v>27</v>
      </c>
      <c r="I120" t="s">
        <v>17</v>
      </c>
      <c r="J120" t="s">
        <v>18</v>
      </c>
      <c r="K120" t="s">
        <v>19</v>
      </c>
    </row>
    <row r="121" spans="1:11">
      <c r="A121" s="1">
        <v>45641</v>
      </c>
      <c r="B121" t="s">
        <v>90</v>
      </c>
      <c r="C121" t="s">
        <v>104</v>
      </c>
      <c r="D121" t="s">
        <v>140</v>
      </c>
      <c r="E121" t="s">
        <v>25</v>
      </c>
      <c r="F121" t="s">
        <v>26</v>
      </c>
      <c r="G121" s="2">
        <v>217</v>
      </c>
      <c r="H121" t="s">
        <v>27</v>
      </c>
      <c r="I121" t="s">
        <v>17</v>
      </c>
      <c r="J121" t="s">
        <v>18</v>
      </c>
      <c r="K121" t="s">
        <v>19</v>
      </c>
    </row>
    <row r="122" spans="1:11">
      <c r="A122" s="1">
        <v>45641</v>
      </c>
      <c r="B122" t="s">
        <v>90</v>
      </c>
      <c r="C122" t="s">
        <v>104</v>
      </c>
      <c r="D122" t="s">
        <v>141</v>
      </c>
      <c r="E122" t="s">
        <v>25</v>
      </c>
      <c r="F122" t="s">
        <v>26</v>
      </c>
      <c r="G122" s="2">
        <v>160</v>
      </c>
      <c r="H122" t="s">
        <v>27</v>
      </c>
      <c r="I122" t="s">
        <v>17</v>
      </c>
      <c r="J122" t="s">
        <v>18</v>
      </c>
      <c r="K122" t="s">
        <v>19</v>
      </c>
    </row>
    <row r="123" spans="1:11">
      <c r="A123" s="1">
        <v>45641</v>
      </c>
      <c r="B123" t="s">
        <v>90</v>
      </c>
      <c r="C123" t="s">
        <v>104</v>
      </c>
      <c r="D123" t="s">
        <v>142</v>
      </c>
      <c r="E123" t="s">
        <v>25</v>
      </c>
      <c r="F123" t="s">
        <v>26</v>
      </c>
      <c r="G123" s="2">
        <v>198</v>
      </c>
      <c r="H123" t="s">
        <v>27</v>
      </c>
      <c r="I123" t="s">
        <v>17</v>
      </c>
      <c r="J123" t="s">
        <v>18</v>
      </c>
      <c r="K123" t="s">
        <v>19</v>
      </c>
    </row>
    <row r="124" spans="1:11">
      <c r="A124" s="1">
        <v>45641</v>
      </c>
      <c r="B124" t="s">
        <v>90</v>
      </c>
      <c r="C124" t="s">
        <v>104</v>
      </c>
      <c r="D124" t="s">
        <v>143</v>
      </c>
      <c r="E124" t="s">
        <v>25</v>
      </c>
      <c r="F124" t="s">
        <v>26</v>
      </c>
      <c r="G124" s="2">
        <v>150</v>
      </c>
      <c r="H124" t="s">
        <v>27</v>
      </c>
      <c r="I124" t="s">
        <v>17</v>
      </c>
      <c r="J124" t="s">
        <v>18</v>
      </c>
      <c r="K124" t="s">
        <v>19</v>
      </c>
    </row>
    <row r="125" spans="1:11">
      <c r="A125" s="1">
        <v>45641</v>
      </c>
      <c r="B125" t="s">
        <v>90</v>
      </c>
      <c r="C125" t="s">
        <v>104</v>
      </c>
      <c r="D125" t="s">
        <v>143</v>
      </c>
      <c r="E125" t="s">
        <v>14</v>
      </c>
      <c r="F125" t="s">
        <v>26</v>
      </c>
      <c r="G125" s="2">
        <v>50</v>
      </c>
      <c r="H125" t="s">
        <v>27</v>
      </c>
      <c r="I125" t="s">
        <v>17</v>
      </c>
      <c r="J125" t="s">
        <v>18</v>
      </c>
      <c r="K125" t="s">
        <v>19</v>
      </c>
    </row>
    <row r="126" spans="1:11">
      <c r="A126" s="1">
        <v>45641</v>
      </c>
      <c r="B126" t="s">
        <v>90</v>
      </c>
      <c r="C126" t="s">
        <v>104</v>
      </c>
      <c r="D126" t="s">
        <v>144</v>
      </c>
      <c r="E126" t="s">
        <v>25</v>
      </c>
      <c r="F126" t="s">
        <v>26</v>
      </c>
      <c r="G126" s="2">
        <v>233</v>
      </c>
      <c r="H126" t="s">
        <v>27</v>
      </c>
      <c r="I126" t="s">
        <v>17</v>
      </c>
      <c r="J126" t="s">
        <v>18</v>
      </c>
      <c r="K126" t="s">
        <v>19</v>
      </c>
    </row>
    <row r="127" spans="1:11">
      <c r="A127" s="1">
        <v>45641</v>
      </c>
      <c r="B127" t="s">
        <v>90</v>
      </c>
      <c r="C127" t="s">
        <v>104</v>
      </c>
      <c r="D127" t="s">
        <v>145</v>
      </c>
      <c r="E127" t="s">
        <v>25</v>
      </c>
      <c r="F127" t="s">
        <v>26</v>
      </c>
      <c r="G127" s="2">
        <v>173</v>
      </c>
      <c r="H127" t="s">
        <v>27</v>
      </c>
      <c r="I127" t="s">
        <v>17</v>
      </c>
      <c r="J127" t="s">
        <v>18</v>
      </c>
      <c r="K127" t="s">
        <v>19</v>
      </c>
    </row>
    <row r="128" spans="1:11">
      <c r="A128" s="1">
        <v>45641</v>
      </c>
      <c r="B128" t="s">
        <v>90</v>
      </c>
      <c r="C128" t="s">
        <v>104</v>
      </c>
      <c r="D128" t="s">
        <v>146</v>
      </c>
      <c r="E128" t="s">
        <v>25</v>
      </c>
      <c r="F128" t="s">
        <v>26</v>
      </c>
      <c r="G128" s="2">
        <v>200</v>
      </c>
      <c r="H128" t="s">
        <v>27</v>
      </c>
      <c r="I128" t="s">
        <v>17</v>
      </c>
      <c r="J128" t="s">
        <v>18</v>
      </c>
      <c r="K128" t="s">
        <v>19</v>
      </c>
    </row>
    <row r="129" spans="1:11">
      <c r="A129" s="1">
        <v>45641</v>
      </c>
      <c r="B129" t="s">
        <v>90</v>
      </c>
      <c r="C129" t="s">
        <v>104</v>
      </c>
      <c r="D129" t="s">
        <v>147</v>
      </c>
      <c r="E129" t="s">
        <v>25</v>
      </c>
      <c r="F129" t="s">
        <v>26</v>
      </c>
      <c r="G129" s="2">
        <v>160</v>
      </c>
      <c r="H129" t="s">
        <v>27</v>
      </c>
      <c r="I129" t="s">
        <v>17</v>
      </c>
      <c r="J129" t="s">
        <v>18</v>
      </c>
      <c r="K129" t="s">
        <v>19</v>
      </c>
    </row>
    <row r="130" spans="1:11">
      <c r="A130" s="1">
        <v>45672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s="2">
        <v>2000</v>
      </c>
      <c r="H130" t="s">
        <v>16</v>
      </c>
      <c r="I130" t="s">
        <v>17</v>
      </c>
      <c r="J130" t="s">
        <v>18</v>
      </c>
      <c r="K130" t="s">
        <v>19</v>
      </c>
    </row>
    <row r="131" spans="1:11">
      <c r="A131" s="1">
        <v>45672</v>
      </c>
      <c r="B131" t="s">
        <v>87</v>
      </c>
      <c r="C131" t="s">
        <v>88</v>
      </c>
      <c r="D131" t="s">
        <v>89</v>
      </c>
      <c r="E131" t="s">
        <v>14</v>
      </c>
      <c r="F131" t="s">
        <v>15</v>
      </c>
      <c r="G131" s="2">
        <v>1441</v>
      </c>
      <c r="H131" t="s">
        <v>16</v>
      </c>
      <c r="I131" t="s">
        <v>17</v>
      </c>
      <c r="J131" t="s">
        <v>18</v>
      </c>
      <c r="K131" t="s">
        <v>19</v>
      </c>
    </row>
    <row r="132" spans="1:11">
      <c r="A132" s="1">
        <v>45703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 s="2">
        <v>1375</v>
      </c>
      <c r="H132" t="s">
        <v>16</v>
      </c>
      <c r="I132" t="s">
        <v>17</v>
      </c>
      <c r="J132" t="s">
        <v>18</v>
      </c>
      <c r="K132" t="s">
        <v>19</v>
      </c>
    </row>
    <row r="133" spans="1:11">
      <c r="A133" s="1">
        <v>45703</v>
      </c>
      <c r="B133" t="s">
        <v>87</v>
      </c>
      <c r="C133" t="s">
        <v>88</v>
      </c>
      <c r="D133" t="s">
        <v>89</v>
      </c>
      <c r="E133" t="s">
        <v>14</v>
      </c>
      <c r="F133" t="s">
        <v>15</v>
      </c>
      <c r="G133" s="2">
        <v>2291.75</v>
      </c>
      <c r="H133" t="s">
        <v>16</v>
      </c>
      <c r="I133" t="s">
        <v>17</v>
      </c>
      <c r="J133" t="s">
        <v>18</v>
      </c>
      <c r="K133" t="s">
        <v>19</v>
      </c>
    </row>
    <row r="134" spans="1:11">
      <c r="A134" s="1">
        <v>45703</v>
      </c>
      <c r="B134" t="s">
        <v>90</v>
      </c>
      <c r="C134" t="s">
        <v>148</v>
      </c>
      <c r="D134" t="s">
        <v>149</v>
      </c>
      <c r="E134" t="s">
        <v>14</v>
      </c>
      <c r="F134" t="s">
        <v>15</v>
      </c>
      <c r="G134" s="2">
        <v>1875</v>
      </c>
      <c r="H134" t="s">
        <v>16</v>
      </c>
      <c r="I134" t="s">
        <v>17</v>
      </c>
      <c r="J134" t="s">
        <v>18</v>
      </c>
      <c r="K134" t="s">
        <v>19</v>
      </c>
    </row>
    <row r="135" spans="1:11">
      <c r="A135" s="1">
        <v>45731</v>
      </c>
      <c r="B135" t="s">
        <v>22</v>
      </c>
      <c r="C135" t="s">
        <v>23</v>
      </c>
      <c r="D135" t="s">
        <v>150</v>
      </c>
      <c r="E135" t="s">
        <v>25</v>
      </c>
      <c r="F135" t="s">
        <v>26</v>
      </c>
      <c r="G135" s="2">
        <v>160</v>
      </c>
      <c r="H135" t="s">
        <v>27</v>
      </c>
      <c r="I135" t="s">
        <v>17</v>
      </c>
      <c r="J135" t="s">
        <v>18</v>
      </c>
      <c r="K135" t="s">
        <v>19</v>
      </c>
    </row>
    <row r="136" spans="1:11">
      <c r="A136" s="1">
        <v>45731</v>
      </c>
      <c r="B136" t="s">
        <v>22</v>
      </c>
      <c r="C136" t="s">
        <v>30</v>
      </c>
      <c r="D136" t="s">
        <v>31</v>
      </c>
      <c r="E136" t="s">
        <v>25</v>
      </c>
      <c r="F136" t="s">
        <v>26</v>
      </c>
      <c r="G136" s="2">
        <v>152</v>
      </c>
      <c r="H136" t="s">
        <v>27</v>
      </c>
      <c r="I136" t="s">
        <v>17</v>
      </c>
      <c r="J136" t="s">
        <v>18</v>
      </c>
      <c r="K136" t="s">
        <v>19</v>
      </c>
    </row>
    <row r="137" spans="1:11">
      <c r="A137" s="1">
        <v>45731</v>
      </c>
      <c r="B137" t="s">
        <v>22</v>
      </c>
      <c r="C137" t="s">
        <v>30</v>
      </c>
      <c r="D137" t="s">
        <v>31</v>
      </c>
      <c r="E137" t="s">
        <v>14</v>
      </c>
      <c r="F137" t="s">
        <v>26</v>
      </c>
      <c r="G137" s="2">
        <v>60</v>
      </c>
      <c r="H137" t="s">
        <v>27</v>
      </c>
      <c r="I137" t="s">
        <v>17</v>
      </c>
      <c r="J137" t="s">
        <v>18</v>
      </c>
      <c r="K137" t="s">
        <v>19</v>
      </c>
    </row>
    <row r="138" spans="1:11">
      <c r="A138" s="1">
        <v>45731</v>
      </c>
      <c r="B138" t="s">
        <v>22</v>
      </c>
      <c r="C138" t="s">
        <v>30</v>
      </c>
      <c r="D138" t="s">
        <v>34</v>
      </c>
      <c r="E138" t="s">
        <v>25</v>
      </c>
      <c r="F138" t="s">
        <v>26</v>
      </c>
      <c r="G138" s="2">
        <v>156</v>
      </c>
      <c r="H138" t="s">
        <v>27</v>
      </c>
      <c r="I138" t="s">
        <v>17</v>
      </c>
      <c r="J138" t="s">
        <v>18</v>
      </c>
      <c r="K138" t="s">
        <v>19</v>
      </c>
    </row>
    <row r="139" spans="1:11">
      <c r="A139" s="1">
        <v>45731</v>
      </c>
      <c r="B139" t="s">
        <v>22</v>
      </c>
      <c r="C139" t="s">
        <v>30</v>
      </c>
      <c r="D139" t="s">
        <v>34</v>
      </c>
      <c r="E139" t="s">
        <v>14</v>
      </c>
      <c r="F139" t="s">
        <v>26</v>
      </c>
      <c r="G139" s="2">
        <v>60</v>
      </c>
      <c r="H139" t="s">
        <v>27</v>
      </c>
      <c r="I139" t="s">
        <v>17</v>
      </c>
      <c r="J139" t="s">
        <v>18</v>
      </c>
      <c r="K139" t="s">
        <v>19</v>
      </c>
    </row>
    <row r="140" spans="1:11">
      <c r="A140" s="1">
        <v>45731</v>
      </c>
      <c r="B140" t="s">
        <v>22</v>
      </c>
      <c r="C140" t="s">
        <v>30</v>
      </c>
      <c r="D140" t="s">
        <v>35</v>
      </c>
      <c r="E140" t="s">
        <v>25</v>
      </c>
      <c r="F140" t="s">
        <v>26</v>
      </c>
      <c r="G140" s="2">
        <v>149</v>
      </c>
      <c r="H140" t="s">
        <v>27</v>
      </c>
      <c r="I140" t="s">
        <v>17</v>
      </c>
      <c r="J140" t="s">
        <v>18</v>
      </c>
      <c r="K140" t="s">
        <v>19</v>
      </c>
    </row>
    <row r="141" spans="1:11">
      <c r="A141" s="1">
        <v>45731</v>
      </c>
      <c r="B141" t="s">
        <v>22</v>
      </c>
      <c r="C141" t="s">
        <v>30</v>
      </c>
      <c r="D141" t="s">
        <v>36</v>
      </c>
      <c r="E141" t="s">
        <v>25</v>
      </c>
      <c r="F141" t="s">
        <v>26</v>
      </c>
      <c r="G141" s="2">
        <v>147</v>
      </c>
      <c r="H141" t="s">
        <v>27</v>
      </c>
      <c r="I141" t="s">
        <v>17</v>
      </c>
      <c r="J141" t="s">
        <v>18</v>
      </c>
      <c r="K141" t="s">
        <v>19</v>
      </c>
    </row>
    <row r="142" spans="1:11">
      <c r="A142" s="1">
        <v>45731</v>
      </c>
      <c r="B142" t="s">
        <v>22</v>
      </c>
      <c r="C142" t="s">
        <v>30</v>
      </c>
      <c r="D142" t="s">
        <v>37</v>
      </c>
      <c r="E142" t="s">
        <v>25</v>
      </c>
      <c r="F142" t="s">
        <v>26</v>
      </c>
      <c r="G142" s="2">
        <v>159</v>
      </c>
      <c r="H142" t="s">
        <v>27</v>
      </c>
      <c r="I142" t="s">
        <v>17</v>
      </c>
      <c r="J142" t="s">
        <v>18</v>
      </c>
      <c r="K142" t="s">
        <v>19</v>
      </c>
    </row>
    <row r="143" spans="1:11">
      <c r="A143" s="1">
        <v>45731</v>
      </c>
      <c r="B143" t="s">
        <v>22</v>
      </c>
      <c r="C143" t="s">
        <v>30</v>
      </c>
      <c r="D143" t="s">
        <v>37</v>
      </c>
      <c r="E143" t="s">
        <v>14</v>
      </c>
      <c r="F143" t="s">
        <v>26</v>
      </c>
      <c r="G143" s="2">
        <v>50</v>
      </c>
      <c r="H143" t="s">
        <v>27</v>
      </c>
      <c r="I143" t="s">
        <v>17</v>
      </c>
      <c r="J143" t="s">
        <v>18</v>
      </c>
      <c r="K143" t="s">
        <v>19</v>
      </c>
    </row>
    <row r="144" spans="1:11">
      <c r="A144" s="1">
        <v>45731</v>
      </c>
      <c r="B144" t="s">
        <v>22</v>
      </c>
      <c r="C144" t="s">
        <v>30</v>
      </c>
      <c r="D144" t="s">
        <v>38</v>
      </c>
      <c r="E144" t="s">
        <v>25</v>
      </c>
      <c r="F144" t="s">
        <v>26</v>
      </c>
      <c r="G144" s="2">
        <v>140</v>
      </c>
      <c r="H144" t="s">
        <v>27</v>
      </c>
      <c r="I144" t="s">
        <v>17</v>
      </c>
      <c r="J144" t="s">
        <v>18</v>
      </c>
      <c r="K144" t="s">
        <v>19</v>
      </c>
    </row>
    <row r="145" spans="1:11">
      <c r="A145" s="1">
        <v>45731</v>
      </c>
      <c r="B145" t="s">
        <v>22</v>
      </c>
      <c r="C145" t="s">
        <v>30</v>
      </c>
      <c r="D145" t="s">
        <v>39</v>
      </c>
      <c r="E145" t="s">
        <v>25</v>
      </c>
      <c r="F145" t="s">
        <v>26</v>
      </c>
      <c r="G145" s="2">
        <v>164</v>
      </c>
      <c r="H145" t="s">
        <v>27</v>
      </c>
      <c r="I145" t="s">
        <v>17</v>
      </c>
      <c r="J145" t="s">
        <v>18</v>
      </c>
      <c r="K145" t="s">
        <v>19</v>
      </c>
    </row>
    <row r="146" spans="1:11">
      <c r="A146" s="1">
        <v>45731</v>
      </c>
      <c r="B146" t="s">
        <v>22</v>
      </c>
      <c r="C146" t="s">
        <v>30</v>
      </c>
      <c r="D146" t="s">
        <v>151</v>
      </c>
      <c r="E146" t="s">
        <v>25</v>
      </c>
      <c r="F146" t="s">
        <v>26</v>
      </c>
      <c r="G146" s="2">
        <v>148</v>
      </c>
      <c r="H146" t="s">
        <v>27</v>
      </c>
      <c r="I146" t="s">
        <v>17</v>
      </c>
      <c r="J146" t="s">
        <v>18</v>
      </c>
      <c r="K146" t="s">
        <v>19</v>
      </c>
    </row>
    <row r="147" spans="1:11">
      <c r="A147" s="1">
        <v>45731</v>
      </c>
      <c r="B147" t="s">
        <v>22</v>
      </c>
      <c r="C147" t="s">
        <v>30</v>
      </c>
      <c r="D147" t="s">
        <v>41</v>
      </c>
      <c r="E147" t="s">
        <v>25</v>
      </c>
      <c r="F147" t="s">
        <v>26</v>
      </c>
      <c r="G147" s="2">
        <v>163</v>
      </c>
      <c r="H147" t="s">
        <v>27</v>
      </c>
      <c r="I147" t="s">
        <v>17</v>
      </c>
      <c r="J147" t="s">
        <v>18</v>
      </c>
      <c r="K147" t="s">
        <v>19</v>
      </c>
    </row>
    <row r="148" spans="1:11">
      <c r="A148" s="1">
        <v>45731</v>
      </c>
      <c r="B148" t="s">
        <v>22</v>
      </c>
      <c r="C148" t="s">
        <v>30</v>
      </c>
      <c r="D148" t="s">
        <v>41</v>
      </c>
      <c r="E148" t="s">
        <v>14</v>
      </c>
      <c r="F148" t="s">
        <v>26</v>
      </c>
      <c r="G148" s="2">
        <v>100</v>
      </c>
      <c r="H148" t="s">
        <v>27</v>
      </c>
      <c r="I148" t="s">
        <v>17</v>
      </c>
      <c r="J148" t="s">
        <v>18</v>
      </c>
      <c r="K148" t="s">
        <v>19</v>
      </c>
    </row>
    <row r="149" spans="1:11">
      <c r="A149" s="1">
        <v>45731</v>
      </c>
      <c r="B149" t="s">
        <v>22</v>
      </c>
      <c r="C149" t="s">
        <v>30</v>
      </c>
      <c r="D149" t="s">
        <v>42</v>
      </c>
      <c r="E149" t="s">
        <v>25</v>
      </c>
      <c r="F149" t="s">
        <v>26</v>
      </c>
      <c r="G149" s="2">
        <v>160</v>
      </c>
      <c r="H149" t="s">
        <v>27</v>
      </c>
      <c r="I149" t="s">
        <v>17</v>
      </c>
      <c r="J149" t="s">
        <v>18</v>
      </c>
      <c r="K149" t="s">
        <v>19</v>
      </c>
    </row>
    <row r="150" spans="1:11">
      <c r="A150" s="1">
        <v>45731</v>
      </c>
      <c r="B150" t="s">
        <v>22</v>
      </c>
      <c r="C150" t="s">
        <v>30</v>
      </c>
      <c r="D150" t="s">
        <v>42</v>
      </c>
      <c r="E150" t="s">
        <v>14</v>
      </c>
      <c r="F150" t="s">
        <v>26</v>
      </c>
      <c r="G150" s="2">
        <v>70</v>
      </c>
      <c r="H150" t="s">
        <v>27</v>
      </c>
      <c r="I150" t="s">
        <v>17</v>
      </c>
      <c r="J150" t="s">
        <v>18</v>
      </c>
      <c r="K150" t="s">
        <v>19</v>
      </c>
    </row>
    <row r="151" spans="1:11">
      <c r="A151" s="1">
        <v>45731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s="2">
        <v>1500</v>
      </c>
      <c r="H151" t="s">
        <v>16</v>
      </c>
      <c r="I151" t="s">
        <v>17</v>
      </c>
      <c r="J151" t="s">
        <v>18</v>
      </c>
      <c r="K151" t="s">
        <v>19</v>
      </c>
    </row>
    <row r="152" spans="1:11">
      <c r="A152" s="1">
        <v>45731</v>
      </c>
      <c r="B152" t="s">
        <v>11</v>
      </c>
      <c r="C152" t="s">
        <v>54</v>
      </c>
      <c r="D152" t="s">
        <v>152</v>
      </c>
      <c r="E152" t="s">
        <v>25</v>
      </c>
      <c r="F152" t="s">
        <v>26</v>
      </c>
      <c r="G152" s="2">
        <v>150</v>
      </c>
      <c r="H152" t="s">
        <v>27</v>
      </c>
      <c r="I152" t="s">
        <v>17</v>
      </c>
      <c r="J152" t="s">
        <v>18</v>
      </c>
      <c r="K152" t="s">
        <v>19</v>
      </c>
    </row>
    <row r="153" spans="1:11">
      <c r="A153" s="1">
        <v>45731</v>
      </c>
      <c r="B153" t="s">
        <v>11</v>
      </c>
      <c r="C153" t="s">
        <v>61</v>
      </c>
      <c r="D153" t="s">
        <v>153</v>
      </c>
      <c r="E153" t="s">
        <v>25</v>
      </c>
      <c r="F153" t="s">
        <v>26</v>
      </c>
      <c r="G153" s="2">
        <v>145</v>
      </c>
      <c r="H153" t="s">
        <v>27</v>
      </c>
      <c r="I153" t="s">
        <v>17</v>
      </c>
      <c r="J153" t="s">
        <v>18</v>
      </c>
      <c r="K153" t="s">
        <v>19</v>
      </c>
    </row>
    <row r="154" spans="1:11">
      <c r="A154" s="1">
        <v>45731</v>
      </c>
      <c r="B154" t="s">
        <v>63</v>
      </c>
      <c r="C154" t="s">
        <v>64</v>
      </c>
      <c r="D154" t="s">
        <v>67</v>
      </c>
      <c r="E154" t="s">
        <v>25</v>
      </c>
      <c r="F154" t="s">
        <v>26</v>
      </c>
      <c r="G154" s="2">
        <v>126</v>
      </c>
      <c r="H154" t="s">
        <v>27</v>
      </c>
      <c r="I154" t="s">
        <v>17</v>
      </c>
      <c r="J154" t="s">
        <v>18</v>
      </c>
      <c r="K154" t="s">
        <v>19</v>
      </c>
    </row>
    <row r="155" spans="1:11">
      <c r="A155" s="1">
        <v>45731</v>
      </c>
      <c r="B155" t="s">
        <v>63</v>
      </c>
      <c r="C155" t="s">
        <v>64</v>
      </c>
      <c r="D155" t="s">
        <v>67</v>
      </c>
      <c r="E155" t="s">
        <v>14</v>
      </c>
      <c r="F155" t="s">
        <v>26</v>
      </c>
      <c r="G155" s="2">
        <v>103</v>
      </c>
      <c r="H155" t="s">
        <v>27</v>
      </c>
      <c r="I155" t="s">
        <v>17</v>
      </c>
      <c r="J155" t="s">
        <v>18</v>
      </c>
      <c r="K155" t="s">
        <v>19</v>
      </c>
    </row>
    <row r="156" spans="1:11">
      <c r="A156" s="1">
        <v>45731</v>
      </c>
      <c r="B156" t="s">
        <v>63</v>
      </c>
      <c r="C156" t="s">
        <v>64</v>
      </c>
      <c r="D156" t="s">
        <v>68</v>
      </c>
      <c r="E156" t="s">
        <v>14</v>
      </c>
      <c r="F156" t="s">
        <v>26</v>
      </c>
      <c r="G156" s="2">
        <v>101</v>
      </c>
      <c r="H156" t="s">
        <v>27</v>
      </c>
      <c r="I156" t="s">
        <v>17</v>
      </c>
      <c r="J156" t="s">
        <v>18</v>
      </c>
      <c r="K156" t="s">
        <v>19</v>
      </c>
    </row>
    <row r="157" spans="1:11">
      <c r="A157" s="1">
        <v>45731</v>
      </c>
      <c r="B157" t="s">
        <v>63</v>
      </c>
      <c r="C157" t="s">
        <v>64</v>
      </c>
      <c r="D157" t="s">
        <v>71</v>
      </c>
      <c r="E157" t="s">
        <v>14</v>
      </c>
      <c r="F157" t="s">
        <v>26</v>
      </c>
      <c r="G157" s="2">
        <v>92</v>
      </c>
      <c r="H157" t="s">
        <v>27</v>
      </c>
      <c r="I157" t="s">
        <v>17</v>
      </c>
      <c r="J157" t="s">
        <v>18</v>
      </c>
      <c r="K157" t="s">
        <v>19</v>
      </c>
    </row>
    <row r="158" spans="1:11">
      <c r="A158" s="1">
        <v>45731</v>
      </c>
      <c r="B158" t="s">
        <v>63</v>
      </c>
      <c r="C158" t="s">
        <v>64</v>
      </c>
      <c r="D158" t="s">
        <v>72</v>
      </c>
      <c r="E158" t="s">
        <v>14</v>
      </c>
      <c r="F158" t="s">
        <v>26</v>
      </c>
      <c r="G158" s="2">
        <v>105</v>
      </c>
      <c r="H158" t="s">
        <v>27</v>
      </c>
      <c r="I158" t="s">
        <v>17</v>
      </c>
      <c r="J158" t="s">
        <v>18</v>
      </c>
      <c r="K158" t="s">
        <v>19</v>
      </c>
    </row>
    <row r="159" spans="1:11">
      <c r="A159" s="1">
        <v>45731</v>
      </c>
      <c r="B159" t="s">
        <v>63</v>
      </c>
      <c r="C159" t="s">
        <v>79</v>
      </c>
      <c r="D159" t="s">
        <v>154</v>
      </c>
      <c r="E159" t="s">
        <v>25</v>
      </c>
      <c r="F159" t="s">
        <v>26</v>
      </c>
      <c r="G159" s="2">
        <v>165</v>
      </c>
      <c r="H159" t="s">
        <v>27</v>
      </c>
      <c r="I159" t="s">
        <v>17</v>
      </c>
      <c r="J159" t="s">
        <v>18</v>
      </c>
      <c r="K159" t="s">
        <v>19</v>
      </c>
    </row>
    <row r="160" spans="1:11">
      <c r="A160" s="1">
        <v>45731</v>
      </c>
      <c r="B160" t="s">
        <v>63</v>
      </c>
      <c r="C160" t="s">
        <v>79</v>
      </c>
      <c r="D160" t="s">
        <v>155</v>
      </c>
      <c r="E160" t="s">
        <v>25</v>
      </c>
      <c r="F160" t="s">
        <v>26</v>
      </c>
      <c r="G160" s="2">
        <v>150</v>
      </c>
      <c r="H160" t="s">
        <v>27</v>
      </c>
      <c r="I160" t="s">
        <v>17</v>
      </c>
      <c r="J160" t="s">
        <v>18</v>
      </c>
      <c r="K160" t="s">
        <v>19</v>
      </c>
    </row>
    <row r="161" spans="1:11">
      <c r="A161" s="1">
        <v>45731</v>
      </c>
      <c r="B161" t="s">
        <v>63</v>
      </c>
      <c r="C161" t="s">
        <v>81</v>
      </c>
      <c r="D161" t="s">
        <v>84</v>
      </c>
      <c r="E161" t="s">
        <v>25</v>
      </c>
      <c r="F161" t="s">
        <v>26</v>
      </c>
      <c r="G161" s="2">
        <v>127</v>
      </c>
      <c r="H161" t="s">
        <v>27</v>
      </c>
      <c r="I161" t="s">
        <v>17</v>
      </c>
      <c r="J161" t="s">
        <v>18</v>
      </c>
      <c r="K161" t="s">
        <v>19</v>
      </c>
    </row>
    <row r="162" spans="1:11">
      <c r="A162" s="1">
        <v>45731</v>
      </c>
      <c r="B162" t="s">
        <v>63</v>
      </c>
      <c r="C162" t="s">
        <v>81</v>
      </c>
      <c r="D162" t="s">
        <v>156</v>
      </c>
      <c r="E162" t="s">
        <v>25</v>
      </c>
      <c r="F162" t="s">
        <v>26</v>
      </c>
      <c r="G162" s="2">
        <v>152</v>
      </c>
      <c r="H162" t="s">
        <v>27</v>
      </c>
      <c r="I162" t="s">
        <v>17</v>
      </c>
      <c r="J162" t="s">
        <v>18</v>
      </c>
      <c r="K162" t="s">
        <v>19</v>
      </c>
    </row>
    <row r="163" spans="1:11">
      <c r="A163" s="1">
        <v>45731</v>
      </c>
      <c r="B163" t="s">
        <v>63</v>
      </c>
      <c r="C163" t="s">
        <v>81</v>
      </c>
      <c r="D163" t="s">
        <v>156</v>
      </c>
      <c r="E163" t="s">
        <v>14</v>
      </c>
      <c r="F163" t="s">
        <v>26</v>
      </c>
      <c r="G163" s="2">
        <v>100</v>
      </c>
      <c r="H163" t="s">
        <v>27</v>
      </c>
      <c r="I163" t="s">
        <v>17</v>
      </c>
      <c r="J163" t="s">
        <v>18</v>
      </c>
      <c r="K163" t="s">
        <v>19</v>
      </c>
    </row>
    <row r="164" spans="1:11">
      <c r="A164" s="1">
        <v>45731</v>
      </c>
      <c r="B164" t="s">
        <v>87</v>
      </c>
      <c r="C164" t="s">
        <v>88</v>
      </c>
      <c r="D164" t="s">
        <v>89</v>
      </c>
      <c r="E164" t="s">
        <v>14</v>
      </c>
      <c r="F164" t="s">
        <v>15</v>
      </c>
      <c r="G164" s="2">
        <v>2778</v>
      </c>
      <c r="H164" t="s">
        <v>16</v>
      </c>
      <c r="I164" t="s">
        <v>17</v>
      </c>
      <c r="J164" t="s">
        <v>18</v>
      </c>
      <c r="K164" t="s">
        <v>19</v>
      </c>
    </row>
    <row r="165" spans="1:11">
      <c r="A165" s="1">
        <v>45731</v>
      </c>
      <c r="B165" t="s">
        <v>90</v>
      </c>
      <c r="C165" t="s">
        <v>91</v>
      </c>
      <c r="D165" t="s">
        <v>92</v>
      </c>
      <c r="E165" t="s">
        <v>25</v>
      </c>
      <c r="F165" t="s">
        <v>26</v>
      </c>
      <c r="G165" s="2">
        <v>155</v>
      </c>
      <c r="H165" t="s">
        <v>27</v>
      </c>
      <c r="I165" t="s">
        <v>17</v>
      </c>
      <c r="J165" t="s">
        <v>18</v>
      </c>
      <c r="K165" t="s">
        <v>19</v>
      </c>
    </row>
    <row r="166" spans="1:11">
      <c r="A166" s="1">
        <v>45731</v>
      </c>
      <c r="B166" t="s">
        <v>90</v>
      </c>
      <c r="C166" t="s">
        <v>91</v>
      </c>
      <c r="D166" t="s">
        <v>92</v>
      </c>
      <c r="E166" t="s">
        <v>14</v>
      </c>
      <c r="F166" t="s">
        <v>26</v>
      </c>
      <c r="G166" s="2">
        <v>40</v>
      </c>
      <c r="H166" t="s">
        <v>27</v>
      </c>
      <c r="I166" t="s">
        <v>17</v>
      </c>
      <c r="J166" t="s">
        <v>18</v>
      </c>
      <c r="K166" t="s">
        <v>19</v>
      </c>
    </row>
    <row r="167" spans="1:11">
      <c r="A167" s="1">
        <v>45731</v>
      </c>
      <c r="B167" t="s">
        <v>90</v>
      </c>
      <c r="C167" t="s">
        <v>104</v>
      </c>
      <c r="D167" t="s">
        <v>107</v>
      </c>
      <c r="E167" t="s">
        <v>25</v>
      </c>
      <c r="F167" t="s">
        <v>26</v>
      </c>
      <c r="G167" s="2">
        <v>225</v>
      </c>
      <c r="H167" t="s">
        <v>27</v>
      </c>
      <c r="I167" t="s">
        <v>17</v>
      </c>
      <c r="J167" t="s">
        <v>18</v>
      </c>
      <c r="K167" t="s">
        <v>19</v>
      </c>
    </row>
    <row r="168" spans="1:11">
      <c r="A168" s="1">
        <v>45731</v>
      </c>
      <c r="B168" t="s">
        <v>90</v>
      </c>
      <c r="C168" t="s">
        <v>104</v>
      </c>
      <c r="D168" t="s">
        <v>107</v>
      </c>
      <c r="E168" t="s">
        <v>14</v>
      </c>
      <c r="F168" t="s">
        <v>26</v>
      </c>
      <c r="G168" s="2">
        <v>100</v>
      </c>
      <c r="H168" t="s">
        <v>27</v>
      </c>
      <c r="I168" t="s">
        <v>17</v>
      </c>
      <c r="J168" t="s">
        <v>18</v>
      </c>
      <c r="K168" t="s">
        <v>19</v>
      </c>
    </row>
    <row r="169" spans="1:11">
      <c r="A169" s="1">
        <v>45731</v>
      </c>
      <c r="B169" t="s">
        <v>90</v>
      </c>
      <c r="C169" t="s">
        <v>104</v>
      </c>
      <c r="D169" t="s">
        <v>109</v>
      </c>
      <c r="E169" t="s">
        <v>14</v>
      </c>
      <c r="F169" t="s">
        <v>26</v>
      </c>
      <c r="G169" s="2">
        <v>70</v>
      </c>
      <c r="H169" t="s">
        <v>27</v>
      </c>
      <c r="I169" t="s">
        <v>17</v>
      </c>
      <c r="J169" t="s">
        <v>18</v>
      </c>
      <c r="K169" t="s">
        <v>19</v>
      </c>
    </row>
    <row r="170" spans="1:11">
      <c r="A170" s="1">
        <v>45731</v>
      </c>
      <c r="B170" t="s">
        <v>90</v>
      </c>
      <c r="C170" t="s">
        <v>104</v>
      </c>
      <c r="D170" t="s">
        <v>112</v>
      </c>
      <c r="E170" t="s">
        <v>14</v>
      </c>
      <c r="F170" t="s">
        <v>26</v>
      </c>
      <c r="G170" s="2">
        <v>80</v>
      </c>
      <c r="H170" t="s">
        <v>27</v>
      </c>
      <c r="I170" t="s">
        <v>17</v>
      </c>
      <c r="J170" t="s">
        <v>18</v>
      </c>
      <c r="K170" t="s">
        <v>19</v>
      </c>
    </row>
    <row r="171" spans="1:11">
      <c r="A171" s="1">
        <v>45731</v>
      </c>
      <c r="B171" t="s">
        <v>90</v>
      </c>
      <c r="C171" t="s">
        <v>104</v>
      </c>
      <c r="D171" t="s">
        <v>113</v>
      </c>
      <c r="E171" t="s">
        <v>14</v>
      </c>
      <c r="F171" t="s">
        <v>26</v>
      </c>
      <c r="G171" s="2">
        <v>60</v>
      </c>
      <c r="H171" t="s">
        <v>27</v>
      </c>
      <c r="I171" t="s">
        <v>17</v>
      </c>
      <c r="J171" t="s">
        <v>18</v>
      </c>
      <c r="K171" t="s">
        <v>19</v>
      </c>
    </row>
    <row r="172" spans="1:11">
      <c r="A172" s="1">
        <v>45731</v>
      </c>
      <c r="B172" t="s">
        <v>90</v>
      </c>
      <c r="C172" t="s">
        <v>104</v>
      </c>
      <c r="D172" t="s">
        <v>114</v>
      </c>
      <c r="E172" t="s">
        <v>14</v>
      </c>
      <c r="F172" t="s">
        <v>26</v>
      </c>
      <c r="G172" s="2">
        <v>117</v>
      </c>
      <c r="H172" t="s">
        <v>27</v>
      </c>
      <c r="I172" t="s">
        <v>17</v>
      </c>
      <c r="J172" t="s">
        <v>18</v>
      </c>
      <c r="K172" t="s">
        <v>19</v>
      </c>
    </row>
    <row r="173" spans="1:11">
      <c r="A173" s="1">
        <v>45731</v>
      </c>
      <c r="B173" t="s">
        <v>90</v>
      </c>
      <c r="C173" t="s">
        <v>104</v>
      </c>
      <c r="D173" t="s">
        <v>118</v>
      </c>
      <c r="E173" t="s">
        <v>14</v>
      </c>
      <c r="F173" t="s">
        <v>26</v>
      </c>
      <c r="G173" s="2">
        <v>67</v>
      </c>
      <c r="H173" t="s">
        <v>27</v>
      </c>
      <c r="I173" t="s">
        <v>17</v>
      </c>
      <c r="J173" t="s">
        <v>18</v>
      </c>
      <c r="K173" t="s">
        <v>19</v>
      </c>
    </row>
    <row r="174" spans="1:11">
      <c r="A174" s="1">
        <v>45731</v>
      </c>
      <c r="B174" t="s">
        <v>90</v>
      </c>
      <c r="C174" t="s">
        <v>104</v>
      </c>
      <c r="D174" t="s">
        <v>119</v>
      </c>
      <c r="E174" t="s">
        <v>14</v>
      </c>
      <c r="F174" t="s">
        <v>26</v>
      </c>
      <c r="G174" s="2">
        <v>100</v>
      </c>
      <c r="H174" t="s">
        <v>27</v>
      </c>
      <c r="I174" t="s">
        <v>17</v>
      </c>
      <c r="J174" t="s">
        <v>18</v>
      </c>
      <c r="K174" t="s">
        <v>19</v>
      </c>
    </row>
    <row r="175" spans="1:11">
      <c r="A175" s="1">
        <v>45731</v>
      </c>
      <c r="B175" t="s">
        <v>90</v>
      </c>
      <c r="C175" t="s">
        <v>104</v>
      </c>
      <c r="D175" t="s">
        <v>120</v>
      </c>
      <c r="E175" t="s">
        <v>14</v>
      </c>
      <c r="F175" t="s">
        <v>26</v>
      </c>
      <c r="G175" s="2">
        <v>50</v>
      </c>
      <c r="H175" t="s">
        <v>27</v>
      </c>
      <c r="I175" t="s">
        <v>17</v>
      </c>
      <c r="J175" t="s">
        <v>18</v>
      </c>
      <c r="K175" t="s">
        <v>19</v>
      </c>
    </row>
    <row r="176" spans="1:11">
      <c r="A176" s="1">
        <v>45731</v>
      </c>
      <c r="B176" t="s">
        <v>90</v>
      </c>
      <c r="C176" t="s">
        <v>104</v>
      </c>
      <c r="D176" t="s">
        <v>121</v>
      </c>
      <c r="E176" t="s">
        <v>25</v>
      </c>
      <c r="F176" t="s">
        <v>26</v>
      </c>
      <c r="G176" s="2">
        <v>202</v>
      </c>
      <c r="H176" t="s">
        <v>27</v>
      </c>
      <c r="I176" t="s">
        <v>17</v>
      </c>
      <c r="J176" t="s">
        <v>18</v>
      </c>
      <c r="K176" t="s">
        <v>19</v>
      </c>
    </row>
    <row r="177" spans="1:11">
      <c r="A177" s="1">
        <v>45731</v>
      </c>
      <c r="B177" t="s">
        <v>90</v>
      </c>
      <c r="C177" t="s">
        <v>104</v>
      </c>
      <c r="D177" t="s">
        <v>121</v>
      </c>
      <c r="E177" t="s">
        <v>14</v>
      </c>
      <c r="F177" t="s">
        <v>26</v>
      </c>
      <c r="G177" s="2">
        <v>70</v>
      </c>
      <c r="H177" t="s">
        <v>27</v>
      </c>
      <c r="I177" t="s">
        <v>17</v>
      </c>
      <c r="J177" t="s">
        <v>18</v>
      </c>
      <c r="K177" t="s">
        <v>19</v>
      </c>
    </row>
    <row r="178" spans="1:11">
      <c r="A178" s="1">
        <v>45731</v>
      </c>
      <c r="B178" t="s">
        <v>90</v>
      </c>
      <c r="C178" t="s">
        <v>104</v>
      </c>
      <c r="D178" t="s">
        <v>140</v>
      </c>
      <c r="E178" t="s">
        <v>25</v>
      </c>
      <c r="F178" t="s">
        <v>26</v>
      </c>
      <c r="G178" s="2">
        <v>213</v>
      </c>
      <c r="H178" t="s">
        <v>27</v>
      </c>
      <c r="I178" t="s">
        <v>17</v>
      </c>
      <c r="J178" t="s">
        <v>18</v>
      </c>
      <c r="K178" t="s">
        <v>19</v>
      </c>
    </row>
    <row r="179" spans="1:11">
      <c r="A179" s="1">
        <v>45731</v>
      </c>
      <c r="B179" t="s">
        <v>90</v>
      </c>
      <c r="C179" t="s">
        <v>104</v>
      </c>
      <c r="D179" t="s">
        <v>157</v>
      </c>
      <c r="E179" t="s">
        <v>14</v>
      </c>
      <c r="F179" t="s">
        <v>26</v>
      </c>
      <c r="G179" s="2">
        <v>98</v>
      </c>
      <c r="H179" t="s">
        <v>27</v>
      </c>
      <c r="I179" t="s">
        <v>17</v>
      </c>
      <c r="J179" t="s">
        <v>18</v>
      </c>
      <c r="K179" t="s">
        <v>19</v>
      </c>
    </row>
    <row r="180" spans="1:11">
      <c r="A180" s="1">
        <v>45762</v>
      </c>
      <c r="B180" t="s">
        <v>87</v>
      </c>
      <c r="C180" t="s">
        <v>88</v>
      </c>
      <c r="D180" t="s">
        <v>89</v>
      </c>
      <c r="E180" t="s">
        <v>14</v>
      </c>
      <c r="F180" t="s">
        <v>15</v>
      </c>
      <c r="G180" s="2">
        <v>2052</v>
      </c>
      <c r="H180" t="s">
        <v>16</v>
      </c>
      <c r="I180" t="s">
        <v>17</v>
      </c>
      <c r="J180" t="s">
        <v>18</v>
      </c>
      <c r="K180" t="s">
        <v>19</v>
      </c>
    </row>
    <row r="181" spans="1:11">
      <c r="A181" s="1">
        <v>45762</v>
      </c>
      <c r="B181" t="s">
        <v>90</v>
      </c>
      <c r="C181" t="s">
        <v>148</v>
      </c>
      <c r="D181" t="s">
        <v>149</v>
      </c>
      <c r="E181" t="s">
        <v>14</v>
      </c>
      <c r="F181" t="s">
        <v>15</v>
      </c>
      <c r="G181" s="2">
        <v>1750</v>
      </c>
      <c r="H181" t="s">
        <v>16</v>
      </c>
      <c r="I181" t="s">
        <v>17</v>
      </c>
      <c r="J181" t="s">
        <v>18</v>
      </c>
      <c r="K181" t="s">
        <v>19</v>
      </c>
    </row>
    <row r="182" spans="1:11">
      <c r="A182" s="1">
        <v>45792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s="2">
        <v>2000</v>
      </c>
      <c r="H182" t="s">
        <v>16</v>
      </c>
      <c r="I182" t="s">
        <v>17</v>
      </c>
      <c r="J182" t="s">
        <v>18</v>
      </c>
      <c r="K182" t="s">
        <v>19</v>
      </c>
    </row>
    <row r="183" spans="1:11">
      <c r="A183" s="1">
        <v>45792</v>
      </c>
      <c r="B183" t="s">
        <v>20</v>
      </c>
      <c r="C183" t="s">
        <v>20</v>
      </c>
      <c r="D183" t="s">
        <v>21</v>
      </c>
      <c r="E183" t="s">
        <v>14</v>
      </c>
      <c r="F183" t="s">
        <v>15</v>
      </c>
      <c r="G183" s="2">
        <v>2000</v>
      </c>
      <c r="H183" t="s">
        <v>16</v>
      </c>
      <c r="I183" t="s">
        <v>17</v>
      </c>
      <c r="J183" t="s">
        <v>18</v>
      </c>
      <c r="K183" t="s">
        <v>19</v>
      </c>
    </row>
    <row r="184" spans="1:11">
      <c r="A184" s="1">
        <v>45792</v>
      </c>
      <c r="B184" t="s">
        <v>87</v>
      </c>
      <c r="C184" t="s">
        <v>88</v>
      </c>
      <c r="D184" t="s">
        <v>89</v>
      </c>
      <c r="E184" t="s">
        <v>14</v>
      </c>
      <c r="F184" t="s">
        <v>15</v>
      </c>
      <c r="G184" s="2">
        <v>1875</v>
      </c>
      <c r="H184" t="s">
        <v>16</v>
      </c>
      <c r="I184" t="s">
        <v>17</v>
      </c>
      <c r="J184" t="s">
        <v>18</v>
      </c>
      <c r="K184" t="s">
        <v>19</v>
      </c>
    </row>
    <row r="185" spans="1:11">
      <c r="A185" s="1">
        <v>45792</v>
      </c>
      <c r="B185" t="s">
        <v>90</v>
      </c>
      <c r="C185" t="s">
        <v>148</v>
      </c>
      <c r="D185" t="s">
        <v>149</v>
      </c>
      <c r="E185" t="s">
        <v>14</v>
      </c>
      <c r="F185" t="s">
        <v>15</v>
      </c>
      <c r="G185" s="2">
        <v>1187.5</v>
      </c>
      <c r="H185" t="s">
        <v>16</v>
      </c>
      <c r="I185" t="s">
        <v>17</v>
      </c>
      <c r="J185" t="s">
        <v>18</v>
      </c>
      <c r="K185" t="s">
        <v>19</v>
      </c>
    </row>
    <row r="186" spans="1:11">
      <c r="A186" s="1">
        <v>45823</v>
      </c>
      <c r="B186" t="s">
        <v>11</v>
      </c>
      <c r="C186" t="s">
        <v>43</v>
      </c>
      <c r="D186" t="s">
        <v>50</v>
      </c>
      <c r="E186" t="s">
        <v>25</v>
      </c>
      <c r="F186" t="s">
        <v>26</v>
      </c>
      <c r="G186" s="2">
        <v>202</v>
      </c>
      <c r="H186" t="s">
        <v>27</v>
      </c>
      <c r="I186" t="s">
        <v>17</v>
      </c>
      <c r="J186" t="s">
        <v>18</v>
      </c>
      <c r="K186" t="s">
        <v>19</v>
      </c>
    </row>
    <row r="187" spans="1:11">
      <c r="A187" s="1">
        <v>45823</v>
      </c>
      <c r="B187" t="s">
        <v>11</v>
      </c>
      <c r="C187" t="s">
        <v>43</v>
      </c>
      <c r="D187" t="s">
        <v>50</v>
      </c>
      <c r="E187" t="s">
        <v>14</v>
      </c>
      <c r="F187" t="s">
        <v>26</v>
      </c>
      <c r="G187" s="2">
        <v>96</v>
      </c>
      <c r="H187" t="s">
        <v>27</v>
      </c>
      <c r="I187" t="s">
        <v>17</v>
      </c>
      <c r="J187" t="s">
        <v>18</v>
      </c>
      <c r="K187" t="s">
        <v>19</v>
      </c>
    </row>
    <row r="188" spans="1:11">
      <c r="A188" s="1">
        <v>45823</v>
      </c>
      <c r="B188" t="s">
        <v>11</v>
      </c>
      <c r="C188" t="s">
        <v>12</v>
      </c>
      <c r="D188" t="s">
        <v>13</v>
      </c>
      <c r="E188" t="s">
        <v>14</v>
      </c>
      <c r="F188" t="s">
        <v>15</v>
      </c>
      <c r="G188" s="2">
        <v>2000</v>
      </c>
      <c r="H188" t="s">
        <v>16</v>
      </c>
      <c r="I188" t="s">
        <v>17</v>
      </c>
      <c r="J188" t="s">
        <v>18</v>
      </c>
      <c r="K188" t="s">
        <v>19</v>
      </c>
    </row>
    <row r="189" spans="1:11">
      <c r="A189" s="1">
        <v>45823</v>
      </c>
      <c r="B189" t="s">
        <v>20</v>
      </c>
      <c r="C189" t="s">
        <v>20</v>
      </c>
      <c r="D189" t="s">
        <v>21</v>
      </c>
      <c r="E189" t="s">
        <v>14</v>
      </c>
      <c r="F189" t="s">
        <v>15</v>
      </c>
      <c r="G189" s="2">
        <v>1650</v>
      </c>
      <c r="H189" t="s">
        <v>16</v>
      </c>
      <c r="I189" t="s">
        <v>17</v>
      </c>
      <c r="J189" t="s">
        <v>18</v>
      </c>
      <c r="K189" t="s">
        <v>19</v>
      </c>
    </row>
    <row r="190" spans="1:11">
      <c r="A190" s="1">
        <v>45823</v>
      </c>
      <c r="B190" t="s">
        <v>63</v>
      </c>
      <c r="C190" t="s">
        <v>64</v>
      </c>
      <c r="D190" t="s">
        <v>68</v>
      </c>
      <c r="E190" t="s">
        <v>14</v>
      </c>
      <c r="F190" t="s">
        <v>26</v>
      </c>
      <c r="G190" s="2">
        <v>92</v>
      </c>
      <c r="H190" t="s">
        <v>27</v>
      </c>
      <c r="I190" t="s">
        <v>17</v>
      </c>
      <c r="J190" t="s">
        <v>18</v>
      </c>
      <c r="K190" t="s">
        <v>19</v>
      </c>
    </row>
    <row r="191" spans="1:11">
      <c r="A191" s="1">
        <v>45823</v>
      </c>
      <c r="B191" t="s">
        <v>63</v>
      </c>
      <c r="C191" t="s">
        <v>64</v>
      </c>
      <c r="D191" t="s">
        <v>71</v>
      </c>
      <c r="E191" t="s">
        <v>14</v>
      </c>
      <c r="F191" t="s">
        <v>26</v>
      </c>
      <c r="G191" s="2">
        <v>100</v>
      </c>
      <c r="H191" t="s">
        <v>27</v>
      </c>
      <c r="I191" t="s">
        <v>17</v>
      </c>
      <c r="J191" t="s">
        <v>18</v>
      </c>
      <c r="K191" t="s">
        <v>19</v>
      </c>
    </row>
    <row r="192" spans="1:11">
      <c r="A192" s="1">
        <v>45823</v>
      </c>
      <c r="B192" t="s">
        <v>63</v>
      </c>
      <c r="C192" t="s">
        <v>64</v>
      </c>
      <c r="D192" t="s">
        <v>72</v>
      </c>
      <c r="E192" t="s">
        <v>14</v>
      </c>
      <c r="F192" t="s">
        <v>26</v>
      </c>
      <c r="G192" s="2">
        <v>83</v>
      </c>
      <c r="H192" t="s">
        <v>27</v>
      </c>
      <c r="I192" t="s">
        <v>17</v>
      </c>
      <c r="J192" t="s">
        <v>18</v>
      </c>
      <c r="K192" t="s">
        <v>19</v>
      </c>
    </row>
    <row r="193" spans="1:11">
      <c r="A193" s="1">
        <v>45823</v>
      </c>
      <c r="B193" t="s">
        <v>63</v>
      </c>
      <c r="C193" t="s">
        <v>79</v>
      </c>
      <c r="D193" t="s">
        <v>154</v>
      </c>
      <c r="E193" t="s">
        <v>25</v>
      </c>
      <c r="F193" t="s">
        <v>26</v>
      </c>
      <c r="G193" s="2">
        <v>150</v>
      </c>
      <c r="H193" t="s">
        <v>27</v>
      </c>
      <c r="I193" t="s">
        <v>17</v>
      </c>
      <c r="J193" t="s">
        <v>18</v>
      </c>
      <c r="K193" t="s">
        <v>19</v>
      </c>
    </row>
    <row r="194" spans="1:11">
      <c r="A194" s="1">
        <v>45823</v>
      </c>
      <c r="B194" t="s">
        <v>63</v>
      </c>
      <c r="C194" t="s">
        <v>79</v>
      </c>
      <c r="D194" t="s">
        <v>154</v>
      </c>
      <c r="E194" t="s">
        <v>14</v>
      </c>
      <c r="F194" t="s">
        <v>26</v>
      </c>
      <c r="G194" s="2">
        <v>100</v>
      </c>
      <c r="H194" t="s">
        <v>27</v>
      </c>
      <c r="I194" t="s">
        <v>17</v>
      </c>
      <c r="J194" t="s">
        <v>18</v>
      </c>
      <c r="K194" t="s">
        <v>19</v>
      </c>
    </row>
    <row r="195" spans="1:11">
      <c r="A195" s="1">
        <v>45823</v>
      </c>
      <c r="B195" t="s">
        <v>63</v>
      </c>
      <c r="C195" t="s">
        <v>79</v>
      </c>
      <c r="D195" t="s">
        <v>158</v>
      </c>
      <c r="E195" t="s">
        <v>25</v>
      </c>
      <c r="F195" t="s">
        <v>26</v>
      </c>
      <c r="G195" s="2">
        <v>120</v>
      </c>
      <c r="H195" t="s">
        <v>27</v>
      </c>
      <c r="I195" t="s">
        <v>17</v>
      </c>
      <c r="J195" t="s">
        <v>18</v>
      </c>
      <c r="K195" t="s">
        <v>19</v>
      </c>
    </row>
    <row r="196" spans="1:11">
      <c r="A196" s="1">
        <v>45823</v>
      </c>
      <c r="B196" t="s">
        <v>63</v>
      </c>
      <c r="C196" t="s">
        <v>79</v>
      </c>
      <c r="D196" t="s">
        <v>158</v>
      </c>
      <c r="E196" t="s">
        <v>14</v>
      </c>
      <c r="F196" t="s">
        <v>26</v>
      </c>
      <c r="G196" s="2">
        <v>90</v>
      </c>
      <c r="H196" t="s">
        <v>27</v>
      </c>
      <c r="I196" t="s">
        <v>17</v>
      </c>
      <c r="J196" t="s">
        <v>18</v>
      </c>
      <c r="K196" t="s">
        <v>19</v>
      </c>
    </row>
    <row r="197" spans="1:11">
      <c r="A197" s="1">
        <v>45823</v>
      </c>
      <c r="B197" t="s">
        <v>63</v>
      </c>
      <c r="C197" t="s">
        <v>79</v>
      </c>
      <c r="D197" t="s">
        <v>159</v>
      </c>
      <c r="E197" t="s">
        <v>25</v>
      </c>
      <c r="F197" t="s">
        <v>26</v>
      </c>
      <c r="G197" s="2">
        <v>140</v>
      </c>
      <c r="H197" t="s">
        <v>27</v>
      </c>
      <c r="I197" t="s">
        <v>17</v>
      </c>
      <c r="J197" t="s">
        <v>18</v>
      </c>
      <c r="K197" t="s">
        <v>19</v>
      </c>
    </row>
    <row r="198" spans="1:11">
      <c r="A198" s="1">
        <v>45823</v>
      </c>
      <c r="B198" t="s">
        <v>63</v>
      </c>
      <c r="C198" t="s">
        <v>79</v>
      </c>
      <c r="D198" t="s">
        <v>159</v>
      </c>
      <c r="E198" t="s">
        <v>14</v>
      </c>
      <c r="F198" t="s">
        <v>26</v>
      </c>
      <c r="G198" s="2">
        <v>107</v>
      </c>
      <c r="H198" t="s">
        <v>27</v>
      </c>
      <c r="I198" t="s">
        <v>17</v>
      </c>
      <c r="J198" t="s">
        <v>18</v>
      </c>
      <c r="K198" t="s">
        <v>19</v>
      </c>
    </row>
    <row r="199" spans="1:11">
      <c r="A199" s="1">
        <v>45823</v>
      </c>
      <c r="B199" t="s">
        <v>87</v>
      </c>
      <c r="C199" t="s">
        <v>88</v>
      </c>
      <c r="D199" t="s">
        <v>89</v>
      </c>
      <c r="E199" t="s">
        <v>14</v>
      </c>
      <c r="F199" t="s">
        <v>15</v>
      </c>
      <c r="G199" s="2">
        <v>1816.5</v>
      </c>
      <c r="H199" t="s">
        <v>16</v>
      </c>
      <c r="I199" t="s">
        <v>17</v>
      </c>
      <c r="J199" t="s">
        <v>18</v>
      </c>
      <c r="K199" t="s">
        <v>19</v>
      </c>
    </row>
    <row r="200" spans="1:11">
      <c r="A200" s="1">
        <v>45823</v>
      </c>
      <c r="B200" t="s">
        <v>90</v>
      </c>
      <c r="C200" t="s">
        <v>104</v>
      </c>
      <c r="D200" t="s">
        <v>107</v>
      </c>
      <c r="E200" t="s">
        <v>25</v>
      </c>
      <c r="F200" t="s">
        <v>26</v>
      </c>
      <c r="G200" s="2">
        <v>183</v>
      </c>
      <c r="H200" t="s">
        <v>27</v>
      </c>
      <c r="I200" t="s">
        <v>17</v>
      </c>
      <c r="J200" t="s">
        <v>18</v>
      </c>
      <c r="K200" t="s">
        <v>19</v>
      </c>
    </row>
    <row r="201" spans="1:11">
      <c r="A201" s="1">
        <v>45823</v>
      </c>
      <c r="B201" t="s">
        <v>90</v>
      </c>
      <c r="C201" t="s">
        <v>104</v>
      </c>
      <c r="D201" t="s">
        <v>107</v>
      </c>
      <c r="E201" t="s">
        <v>14</v>
      </c>
      <c r="F201" t="s">
        <v>26</v>
      </c>
      <c r="G201" s="2">
        <v>67</v>
      </c>
      <c r="H201" t="s">
        <v>27</v>
      </c>
      <c r="I201" t="s">
        <v>17</v>
      </c>
      <c r="J201" t="s">
        <v>18</v>
      </c>
      <c r="K201" t="s">
        <v>19</v>
      </c>
    </row>
    <row r="202" spans="1:11">
      <c r="A202" s="1">
        <v>45823</v>
      </c>
      <c r="B202" t="s">
        <v>90</v>
      </c>
      <c r="C202" t="s">
        <v>104</v>
      </c>
      <c r="D202" t="s">
        <v>109</v>
      </c>
      <c r="E202" t="s">
        <v>14</v>
      </c>
      <c r="F202" t="s">
        <v>26</v>
      </c>
      <c r="G202" s="2">
        <v>97</v>
      </c>
      <c r="H202" t="s">
        <v>27</v>
      </c>
      <c r="I202" t="s">
        <v>17</v>
      </c>
      <c r="J202" t="s">
        <v>18</v>
      </c>
      <c r="K202" t="s">
        <v>19</v>
      </c>
    </row>
    <row r="203" spans="1:11">
      <c r="A203" s="1">
        <v>45823</v>
      </c>
      <c r="B203" t="s">
        <v>90</v>
      </c>
      <c r="C203" t="s">
        <v>104</v>
      </c>
      <c r="D203" t="s">
        <v>112</v>
      </c>
      <c r="E203" t="s">
        <v>14</v>
      </c>
      <c r="F203" t="s">
        <v>26</v>
      </c>
      <c r="G203" s="2">
        <v>93</v>
      </c>
      <c r="H203" t="s">
        <v>27</v>
      </c>
      <c r="I203" t="s">
        <v>17</v>
      </c>
      <c r="J203" t="s">
        <v>18</v>
      </c>
      <c r="K203" t="s">
        <v>19</v>
      </c>
    </row>
    <row r="204" spans="1:11">
      <c r="A204" s="1">
        <v>45823</v>
      </c>
      <c r="B204" t="s">
        <v>90</v>
      </c>
      <c r="C204" t="s">
        <v>104</v>
      </c>
      <c r="D204" t="s">
        <v>113</v>
      </c>
      <c r="E204" t="s">
        <v>14</v>
      </c>
      <c r="F204" t="s">
        <v>26</v>
      </c>
      <c r="G204" s="2">
        <v>107</v>
      </c>
      <c r="H204" t="s">
        <v>27</v>
      </c>
      <c r="I204" t="s">
        <v>17</v>
      </c>
      <c r="J204" t="s">
        <v>18</v>
      </c>
      <c r="K204" t="s">
        <v>19</v>
      </c>
    </row>
    <row r="205" spans="1:11">
      <c r="A205" s="1">
        <v>45823</v>
      </c>
      <c r="B205" t="s">
        <v>90</v>
      </c>
      <c r="C205" t="s">
        <v>104</v>
      </c>
      <c r="D205" t="s">
        <v>118</v>
      </c>
      <c r="E205" t="s">
        <v>14</v>
      </c>
      <c r="F205" t="s">
        <v>26</v>
      </c>
      <c r="G205" s="2">
        <v>90</v>
      </c>
      <c r="H205" t="s">
        <v>27</v>
      </c>
      <c r="I205" t="s">
        <v>17</v>
      </c>
      <c r="J205" t="s">
        <v>18</v>
      </c>
      <c r="K205" t="s">
        <v>19</v>
      </c>
    </row>
    <row r="206" spans="1:11">
      <c r="A206" s="1">
        <v>45823</v>
      </c>
      <c r="B206" t="s">
        <v>90</v>
      </c>
      <c r="C206" t="s">
        <v>104</v>
      </c>
      <c r="D206" t="s">
        <v>119</v>
      </c>
      <c r="E206" t="s">
        <v>14</v>
      </c>
      <c r="F206" t="s">
        <v>26</v>
      </c>
      <c r="G206" s="2">
        <v>67</v>
      </c>
      <c r="H206" t="s">
        <v>27</v>
      </c>
      <c r="I206" t="s">
        <v>17</v>
      </c>
      <c r="J206" t="s">
        <v>18</v>
      </c>
      <c r="K206" t="s">
        <v>19</v>
      </c>
    </row>
    <row r="207" spans="1:11">
      <c r="A207" s="1">
        <v>45823</v>
      </c>
      <c r="B207" t="s">
        <v>90</v>
      </c>
      <c r="C207" t="s">
        <v>104</v>
      </c>
      <c r="D207" t="s">
        <v>120</v>
      </c>
      <c r="E207" t="s">
        <v>14</v>
      </c>
      <c r="F207" t="s">
        <v>26</v>
      </c>
      <c r="G207" s="2">
        <v>93</v>
      </c>
      <c r="H207" t="s">
        <v>27</v>
      </c>
      <c r="I207" t="s">
        <v>17</v>
      </c>
      <c r="J207" t="s">
        <v>18</v>
      </c>
      <c r="K207" t="s">
        <v>19</v>
      </c>
    </row>
    <row r="208" spans="1:11">
      <c r="A208" s="1">
        <v>45823</v>
      </c>
      <c r="B208" t="s">
        <v>90</v>
      </c>
      <c r="C208" t="s">
        <v>104</v>
      </c>
      <c r="D208" t="s">
        <v>121</v>
      </c>
      <c r="E208" t="s">
        <v>25</v>
      </c>
      <c r="F208" t="s">
        <v>26</v>
      </c>
      <c r="G208" s="2">
        <v>185</v>
      </c>
      <c r="H208" t="s">
        <v>27</v>
      </c>
      <c r="I208" t="s">
        <v>17</v>
      </c>
      <c r="J208" t="s">
        <v>18</v>
      </c>
      <c r="K208" t="s">
        <v>19</v>
      </c>
    </row>
    <row r="209" spans="1:11">
      <c r="A209" s="1">
        <v>45823</v>
      </c>
      <c r="B209" t="s">
        <v>90</v>
      </c>
      <c r="C209" t="s">
        <v>104</v>
      </c>
      <c r="D209" t="s">
        <v>121</v>
      </c>
      <c r="E209" t="s">
        <v>14</v>
      </c>
      <c r="F209" t="s">
        <v>26</v>
      </c>
      <c r="G209" s="2">
        <v>50</v>
      </c>
      <c r="H209" t="s">
        <v>27</v>
      </c>
      <c r="I209" t="s">
        <v>17</v>
      </c>
      <c r="J209" t="s">
        <v>18</v>
      </c>
      <c r="K209" t="s">
        <v>19</v>
      </c>
    </row>
    <row r="210" spans="1:11">
      <c r="A210" s="1">
        <v>45823</v>
      </c>
      <c r="B210" t="s">
        <v>90</v>
      </c>
      <c r="C210" t="s">
        <v>104</v>
      </c>
      <c r="D210" t="s">
        <v>139</v>
      </c>
      <c r="E210" t="s">
        <v>25</v>
      </c>
      <c r="F210" t="s">
        <v>26</v>
      </c>
      <c r="G210" s="2">
        <v>204</v>
      </c>
      <c r="H210" t="s">
        <v>27</v>
      </c>
      <c r="I210" t="s">
        <v>17</v>
      </c>
      <c r="J210" t="s">
        <v>18</v>
      </c>
      <c r="K210" t="s">
        <v>19</v>
      </c>
    </row>
    <row r="211" spans="1:11">
      <c r="A211" s="1">
        <v>45823</v>
      </c>
      <c r="B211" t="s">
        <v>90</v>
      </c>
      <c r="C211" t="s">
        <v>104</v>
      </c>
      <c r="D211" t="s">
        <v>139</v>
      </c>
      <c r="E211" t="s">
        <v>14</v>
      </c>
      <c r="F211" t="s">
        <v>26</v>
      </c>
      <c r="G211" s="2">
        <v>50</v>
      </c>
      <c r="H211" t="s">
        <v>27</v>
      </c>
      <c r="I211" t="s">
        <v>17</v>
      </c>
      <c r="J211" t="s">
        <v>18</v>
      </c>
      <c r="K211" t="s">
        <v>19</v>
      </c>
    </row>
    <row r="212" spans="1:11">
      <c r="A212" s="1">
        <v>45823</v>
      </c>
      <c r="B212" t="s">
        <v>90</v>
      </c>
      <c r="C212" t="s">
        <v>104</v>
      </c>
      <c r="D212" t="s">
        <v>157</v>
      </c>
      <c r="E212" t="s">
        <v>14</v>
      </c>
      <c r="F212" t="s">
        <v>26</v>
      </c>
      <c r="G212" s="2">
        <v>83</v>
      </c>
      <c r="H212" t="s">
        <v>27</v>
      </c>
      <c r="I212" t="s">
        <v>17</v>
      </c>
      <c r="J212" t="s">
        <v>18</v>
      </c>
      <c r="K212" t="s">
        <v>19</v>
      </c>
    </row>
    <row r="213" spans="1:11">
      <c r="A213" s="1">
        <v>45823</v>
      </c>
      <c r="B213" t="s">
        <v>90</v>
      </c>
      <c r="C213" t="s">
        <v>148</v>
      </c>
      <c r="D213" t="s">
        <v>149</v>
      </c>
      <c r="E213" t="s">
        <v>14</v>
      </c>
      <c r="F213" t="s">
        <v>15</v>
      </c>
      <c r="G213" s="2">
        <v>1000</v>
      </c>
      <c r="H213" t="s">
        <v>16</v>
      </c>
      <c r="I213" t="s">
        <v>17</v>
      </c>
      <c r="J213" t="s">
        <v>18</v>
      </c>
      <c r="K213" t="s">
        <v>19</v>
      </c>
    </row>
    <row r="214" spans="1:11">
      <c r="A214" s="1">
        <v>45853</v>
      </c>
      <c r="B214" t="s">
        <v>87</v>
      </c>
      <c r="C214" t="s">
        <v>88</v>
      </c>
      <c r="D214" t="s">
        <v>89</v>
      </c>
      <c r="E214" t="s">
        <v>14</v>
      </c>
      <c r="F214" t="s">
        <v>15</v>
      </c>
      <c r="G214" s="2">
        <v>1750</v>
      </c>
      <c r="H214" t="s">
        <v>16</v>
      </c>
      <c r="I214" t="s">
        <v>17</v>
      </c>
      <c r="J214" t="s">
        <v>18</v>
      </c>
      <c r="K214" t="s">
        <v>19</v>
      </c>
    </row>
    <row r="215" spans="1:11">
      <c r="A215" s="1">
        <v>45884</v>
      </c>
      <c r="B215" t="s">
        <v>20</v>
      </c>
      <c r="C215" t="s">
        <v>20</v>
      </c>
      <c r="D215" t="s">
        <v>160</v>
      </c>
      <c r="E215" t="s">
        <v>14</v>
      </c>
      <c r="F215" t="s">
        <v>15</v>
      </c>
      <c r="G215" s="2">
        <v>1500</v>
      </c>
      <c r="H215" t="s">
        <v>16</v>
      </c>
      <c r="I215" t="s">
        <v>17</v>
      </c>
      <c r="J215" t="s">
        <v>18</v>
      </c>
      <c r="K215" t="s">
        <v>19</v>
      </c>
    </row>
    <row r="216" spans="1:11">
      <c r="A216" s="1">
        <v>45884</v>
      </c>
      <c r="B216" t="s">
        <v>87</v>
      </c>
      <c r="C216" t="s">
        <v>88</v>
      </c>
      <c r="D216" t="s">
        <v>89</v>
      </c>
      <c r="E216" t="s">
        <v>14</v>
      </c>
      <c r="F216" t="s">
        <v>15</v>
      </c>
      <c r="G216" s="2">
        <v>2083.5</v>
      </c>
      <c r="H216" t="s">
        <v>16</v>
      </c>
      <c r="I216" t="s">
        <v>17</v>
      </c>
      <c r="J216" t="s">
        <v>18</v>
      </c>
      <c r="K216" t="s">
        <v>19</v>
      </c>
    </row>
    <row r="217" spans="1:11">
      <c r="A217" s="1">
        <v>45915</v>
      </c>
      <c r="B217" t="s">
        <v>22</v>
      </c>
      <c r="C217" t="s">
        <v>30</v>
      </c>
      <c r="D217" t="s">
        <v>37</v>
      </c>
      <c r="E217" t="s">
        <v>25</v>
      </c>
      <c r="F217" t="s">
        <v>26</v>
      </c>
      <c r="G217" s="2">
        <v>173</v>
      </c>
      <c r="H217" t="s">
        <v>27</v>
      </c>
      <c r="I217" t="s">
        <v>17</v>
      </c>
      <c r="J217" t="s">
        <v>18</v>
      </c>
      <c r="K217" t="s">
        <v>19</v>
      </c>
    </row>
    <row r="218" spans="1:11">
      <c r="A218" s="1">
        <v>45915</v>
      </c>
      <c r="B218" t="s">
        <v>11</v>
      </c>
      <c r="C218" t="s">
        <v>12</v>
      </c>
      <c r="D218" t="s">
        <v>13</v>
      </c>
      <c r="E218" t="s">
        <v>14</v>
      </c>
      <c r="F218" t="s">
        <v>15</v>
      </c>
      <c r="G218" s="2">
        <v>1500</v>
      </c>
      <c r="H218" t="s">
        <v>16</v>
      </c>
      <c r="I218" t="s">
        <v>17</v>
      </c>
      <c r="J218" t="s">
        <v>18</v>
      </c>
      <c r="K218" t="s">
        <v>19</v>
      </c>
    </row>
    <row r="219" spans="1:11">
      <c r="A219" s="1">
        <v>45915</v>
      </c>
      <c r="B219" t="s">
        <v>63</v>
      </c>
      <c r="C219" t="s">
        <v>64</v>
      </c>
      <c r="D219" t="s">
        <v>68</v>
      </c>
      <c r="E219" t="s">
        <v>14</v>
      </c>
      <c r="F219" t="s">
        <v>26</v>
      </c>
      <c r="G219" s="2">
        <v>100</v>
      </c>
      <c r="H219" t="s">
        <v>27</v>
      </c>
      <c r="I219" t="s">
        <v>17</v>
      </c>
      <c r="J219" t="s">
        <v>18</v>
      </c>
      <c r="K219" t="s">
        <v>19</v>
      </c>
    </row>
    <row r="220" spans="1:11">
      <c r="A220" s="1">
        <v>45915</v>
      </c>
      <c r="B220" t="s">
        <v>63</v>
      </c>
      <c r="C220" t="s">
        <v>64</v>
      </c>
      <c r="D220" t="s">
        <v>71</v>
      </c>
      <c r="E220" t="s">
        <v>14</v>
      </c>
      <c r="F220" t="s">
        <v>26</v>
      </c>
      <c r="G220" s="2">
        <v>69</v>
      </c>
      <c r="H220" t="s">
        <v>27</v>
      </c>
      <c r="I220" t="s">
        <v>17</v>
      </c>
      <c r="J220" t="s">
        <v>18</v>
      </c>
      <c r="K220" t="s">
        <v>19</v>
      </c>
    </row>
    <row r="221" spans="1:11">
      <c r="A221" s="1">
        <v>45915</v>
      </c>
      <c r="B221" t="s">
        <v>63</v>
      </c>
      <c r="C221" t="s">
        <v>64</v>
      </c>
      <c r="D221" t="s">
        <v>72</v>
      </c>
      <c r="E221" t="s">
        <v>14</v>
      </c>
      <c r="F221" t="s">
        <v>26</v>
      </c>
      <c r="G221" s="2">
        <v>97</v>
      </c>
      <c r="H221" t="s">
        <v>27</v>
      </c>
      <c r="I221" t="s">
        <v>17</v>
      </c>
      <c r="J221" t="s">
        <v>18</v>
      </c>
      <c r="K221" t="s">
        <v>19</v>
      </c>
    </row>
    <row r="222" spans="1:11">
      <c r="A222" s="1">
        <v>45915</v>
      </c>
      <c r="B222" t="s">
        <v>63</v>
      </c>
      <c r="C222" t="s">
        <v>79</v>
      </c>
      <c r="D222" t="s">
        <v>79</v>
      </c>
      <c r="E222" t="s">
        <v>25</v>
      </c>
      <c r="F222" t="s">
        <v>26</v>
      </c>
      <c r="G222" s="2">
        <v>115</v>
      </c>
      <c r="H222" t="s">
        <v>27</v>
      </c>
      <c r="I222" t="s">
        <v>17</v>
      </c>
      <c r="J222" t="s">
        <v>18</v>
      </c>
      <c r="K222" t="s">
        <v>19</v>
      </c>
    </row>
    <row r="223" spans="1:11">
      <c r="A223" s="1">
        <v>45915</v>
      </c>
      <c r="B223" t="s">
        <v>63</v>
      </c>
      <c r="C223" t="s">
        <v>79</v>
      </c>
      <c r="D223" t="s">
        <v>79</v>
      </c>
      <c r="E223" t="s">
        <v>14</v>
      </c>
      <c r="F223" t="s">
        <v>26</v>
      </c>
      <c r="G223" s="2">
        <v>90</v>
      </c>
      <c r="H223" t="s">
        <v>27</v>
      </c>
      <c r="I223" t="s">
        <v>17</v>
      </c>
      <c r="J223" t="s">
        <v>18</v>
      </c>
      <c r="K223" t="s">
        <v>19</v>
      </c>
    </row>
    <row r="224" spans="1:11">
      <c r="A224" s="1">
        <v>45915</v>
      </c>
      <c r="B224" t="s">
        <v>63</v>
      </c>
      <c r="C224" t="s">
        <v>79</v>
      </c>
      <c r="D224" t="s">
        <v>158</v>
      </c>
      <c r="E224" t="s">
        <v>25</v>
      </c>
      <c r="F224" t="s">
        <v>26</v>
      </c>
      <c r="G224" s="2">
        <v>154</v>
      </c>
      <c r="H224" t="s">
        <v>27</v>
      </c>
      <c r="I224" t="s">
        <v>17</v>
      </c>
      <c r="J224" t="s">
        <v>18</v>
      </c>
      <c r="K224" t="s">
        <v>19</v>
      </c>
    </row>
    <row r="225" spans="1:11">
      <c r="A225" s="1">
        <v>45915</v>
      </c>
      <c r="B225" t="s">
        <v>63</v>
      </c>
      <c r="C225" t="s">
        <v>79</v>
      </c>
      <c r="D225" t="s">
        <v>158</v>
      </c>
      <c r="E225" t="s">
        <v>14</v>
      </c>
      <c r="F225" t="s">
        <v>26</v>
      </c>
      <c r="G225" s="2">
        <v>50</v>
      </c>
      <c r="H225" t="s">
        <v>27</v>
      </c>
      <c r="I225" t="s">
        <v>17</v>
      </c>
      <c r="J225" t="s">
        <v>18</v>
      </c>
      <c r="K225" t="s">
        <v>19</v>
      </c>
    </row>
    <row r="226" spans="1:11">
      <c r="A226" s="1">
        <v>45915</v>
      </c>
      <c r="B226" t="s">
        <v>63</v>
      </c>
      <c r="C226" t="s">
        <v>79</v>
      </c>
      <c r="D226" t="s">
        <v>159</v>
      </c>
      <c r="E226" t="s">
        <v>25</v>
      </c>
      <c r="F226" t="s">
        <v>26</v>
      </c>
      <c r="G226" s="2">
        <v>120</v>
      </c>
      <c r="H226" t="s">
        <v>27</v>
      </c>
      <c r="I226" t="s">
        <v>17</v>
      </c>
      <c r="J226" t="s">
        <v>18</v>
      </c>
      <c r="K226" t="s">
        <v>19</v>
      </c>
    </row>
    <row r="227" spans="1:11">
      <c r="A227" s="1">
        <v>45915</v>
      </c>
      <c r="B227" t="s">
        <v>63</v>
      </c>
      <c r="C227" t="s">
        <v>81</v>
      </c>
      <c r="D227" t="s">
        <v>83</v>
      </c>
      <c r="E227" t="s">
        <v>25</v>
      </c>
      <c r="F227" t="s">
        <v>26</v>
      </c>
      <c r="G227" s="2">
        <v>145</v>
      </c>
      <c r="H227" t="s">
        <v>27</v>
      </c>
      <c r="I227" t="s">
        <v>17</v>
      </c>
      <c r="J227" t="s">
        <v>18</v>
      </c>
      <c r="K227" t="s">
        <v>19</v>
      </c>
    </row>
    <row r="228" spans="1:11">
      <c r="A228" s="1">
        <v>45915</v>
      </c>
      <c r="B228" t="s">
        <v>63</v>
      </c>
      <c r="C228" t="s">
        <v>81</v>
      </c>
      <c r="D228" t="s">
        <v>83</v>
      </c>
      <c r="E228" t="s">
        <v>14</v>
      </c>
      <c r="F228" t="s">
        <v>26</v>
      </c>
      <c r="G228" s="2">
        <v>100</v>
      </c>
      <c r="H228" t="s">
        <v>27</v>
      </c>
      <c r="I228" t="s">
        <v>17</v>
      </c>
      <c r="J228" t="s">
        <v>18</v>
      </c>
      <c r="K228" t="s">
        <v>19</v>
      </c>
    </row>
    <row r="229" spans="1:11">
      <c r="A229" s="1">
        <v>45915</v>
      </c>
      <c r="B229" t="s">
        <v>63</v>
      </c>
      <c r="C229" t="s">
        <v>81</v>
      </c>
      <c r="D229" t="s">
        <v>84</v>
      </c>
      <c r="E229" t="s">
        <v>25</v>
      </c>
      <c r="F229" t="s">
        <v>26</v>
      </c>
      <c r="G229" s="2">
        <v>140</v>
      </c>
      <c r="H229" t="s">
        <v>27</v>
      </c>
      <c r="I229" t="s">
        <v>17</v>
      </c>
      <c r="J229" t="s">
        <v>18</v>
      </c>
      <c r="K229" t="s">
        <v>19</v>
      </c>
    </row>
    <row r="230" spans="1:11">
      <c r="A230" s="1">
        <v>45915</v>
      </c>
      <c r="B230" t="s">
        <v>87</v>
      </c>
      <c r="C230" t="s">
        <v>88</v>
      </c>
      <c r="D230" t="s">
        <v>89</v>
      </c>
      <c r="E230" t="s">
        <v>14</v>
      </c>
      <c r="F230" t="s">
        <v>15</v>
      </c>
      <c r="G230" s="2">
        <v>1555.5</v>
      </c>
      <c r="H230" t="s">
        <v>16</v>
      </c>
      <c r="I230" t="s">
        <v>17</v>
      </c>
      <c r="J230" t="s">
        <v>18</v>
      </c>
      <c r="K230" t="s">
        <v>19</v>
      </c>
    </row>
    <row r="231" spans="1:11">
      <c r="A231" s="1">
        <v>45915</v>
      </c>
      <c r="B231" t="s">
        <v>90</v>
      </c>
      <c r="C231" t="s">
        <v>93</v>
      </c>
      <c r="D231" t="s">
        <v>161</v>
      </c>
      <c r="E231" t="s">
        <v>25</v>
      </c>
      <c r="F231" t="s">
        <v>26</v>
      </c>
      <c r="G231" s="2">
        <v>180</v>
      </c>
      <c r="H231" t="s">
        <v>27</v>
      </c>
      <c r="I231" t="s">
        <v>17</v>
      </c>
      <c r="J231" t="s">
        <v>18</v>
      </c>
      <c r="K231" t="s">
        <v>19</v>
      </c>
    </row>
    <row r="232" spans="1:11">
      <c r="A232" s="1">
        <v>45915</v>
      </c>
      <c r="B232" t="s">
        <v>90</v>
      </c>
      <c r="C232" t="s">
        <v>93</v>
      </c>
      <c r="D232" t="s">
        <v>101</v>
      </c>
      <c r="E232" t="s">
        <v>25</v>
      </c>
      <c r="F232" t="s">
        <v>26</v>
      </c>
      <c r="G232" s="2">
        <v>170</v>
      </c>
      <c r="H232" t="s">
        <v>27</v>
      </c>
      <c r="I232" t="s">
        <v>17</v>
      </c>
      <c r="J232" t="s">
        <v>18</v>
      </c>
      <c r="K232" t="s">
        <v>19</v>
      </c>
    </row>
    <row r="233" spans="1:11">
      <c r="A233" s="1">
        <v>45915</v>
      </c>
      <c r="B233" t="s">
        <v>90</v>
      </c>
      <c r="C233" t="s">
        <v>104</v>
      </c>
      <c r="D233" t="s">
        <v>108</v>
      </c>
      <c r="E233" t="s">
        <v>14</v>
      </c>
      <c r="F233" t="s">
        <v>26</v>
      </c>
      <c r="G233" s="2">
        <v>100</v>
      </c>
      <c r="H233" t="s">
        <v>27</v>
      </c>
      <c r="I233" t="s">
        <v>17</v>
      </c>
      <c r="J233" t="s">
        <v>18</v>
      </c>
      <c r="K233" t="s">
        <v>19</v>
      </c>
    </row>
    <row r="234" spans="1:11">
      <c r="A234" s="1">
        <v>45915</v>
      </c>
      <c r="B234" t="s">
        <v>90</v>
      </c>
      <c r="C234" t="s">
        <v>104</v>
      </c>
      <c r="D234" t="s">
        <v>109</v>
      </c>
      <c r="E234" t="s">
        <v>25</v>
      </c>
      <c r="F234" t="s">
        <v>26</v>
      </c>
      <c r="G234" s="2">
        <v>180</v>
      </c>
      <c r="H234" t="s">
        <v>27</v>
      </c>
      <c r="I234" t="s">
        <v>17</v>
      </c>
      <c r="J234" t="s">
        <v>18</v>
      </c>
      <c r="K234" t="s">
        <v>19</v>
      </c>
    </row>
    <row r="235" spans="1:11">
      <c r="A235" s="1">
        <v>45915</v>
      </c>
      <c r="B235" t="s">
        <v>90</v>
      </c>
      <c r="C235" t="s">
        <v>104</v>
      </c>
      <c r="D235" t="s">
        <v>111</v>
      </c>
      <c r="E235" t="s">
        <v>25</v>
      </c>
      <c r="F235" t="s">
        <v>26</v>
      </c>
      <c r="G235" s="2">
        <v>200</v>
      </c>
      <c r="H235" t="s">
        <v>27</v>
      </c>
      <c r="I235" t="s">
        <v>17</v>
      </c>
      <c r="J235" t="s">
        <v>18</v>
      </c>
      <c r="K235" t="s">
        <v>19</v>
      </c>
    </row>
    <row r="236" spans="1:11">
      <c r="A236" s="1">
        <v>45915</v>
      </c>
      <c r="B236" t="s">
        <v>90</v>
      </c>
      <c r="C236" t="s">
        <v>104</v>
      </c>
      <c r="D236" t="s">
        <v>113</v>
      </c>
      <c r="E236" t="s">
        <v>14</v>
      </c>
      <c r="F236" t="s">
        <v>26</v>
      </c>
      <c r="G236" s="2">
        <v>60</v>
      </c>
      <c r="H236" t="s">
        <v>27</v>
      </c>
      <c r="I236" t="s">
        <v>17</v>
      </c>
      <c r="J236" t="s">
        <v>18</v>
      </c>
      <c r="K236" t="s">
        <v>19</v>
      </c>
    </row>
    <row r="237" spans="1:11">
      <c r="A237" s="1">
        <v>45915</v>
      </c>
      <c r="B237" t="s">
        <v>90</v>
      </c>
      <c r="C237" t="s">
        <v>104</v>
      </c>
      <c r="D237" t="s">
        <v>114</v>
      </c>
      <c r="E237" t="s">
        <v>25</v>
      </c>
      <c r="F237" t="s">
        <v>26</v>
      </c>
      <c r="G237" s="2">
        <v>181</v>
      </c>
      <c r="H237" t="s">
        <v>27</v>
      </c>
      <c r="I237" t="s">
        <v>17</v>
      </c>
      <c r="J237" t="s">
        <v>18</v>
      </c>
      <c r="K237" t="s">
        <v>19</v>
      </c>
    </row>
    <row r="238" spans="1:11">
      <c r="A238" s="1">
        <v>45915</v>
      </c>
      <c r="B238" t="s">
        <v>90</v>
      </c>
      <c r="C238" t="s">
        <v>104</v>
      </c>
      <c r="D238" t="s">
        <v>114</v>
      </c>
      <c r="E238" t="s">
        <v>14</v>
      </c>
      <c r="F238" t="s">
        <v>26</v>
      </c>
      <c r="G238" s="2">
        <v>144</v>
      </c>
      <c r="H238" t="s">
        <v>27</v>
      </c>
      <c r="I238" t="s">
        <v>17</v>
      </c>
      <c r="J238" t="s">
        <v>18</v>
      </c>
      <c r="K238" t="s">
        <v>19</v>
      </c>
    </row>
    <row r="239" spans="1:11">
      <c r="A239" s="1">
        <v>45915</v>
      </c>
      <c r="B239" t="s">
        <v>90</v>
      </c>
      <c r="C239" t="s">
        <v>104</v>
      </c>
      <c r="D239" t="s">
        <v>117</v>
      </c>
      <c r="E239" t="s">
        <v>25</v>
      </c>
      <c r="F239" t="s">
        <v>26</v>
      </c>
      <c r="G239" s="2">
        <v>198</v>
      </c>
      <c r="H239" t="s">
        <v>27</v>
      </c>
      <c r="I239" t="s">
        <v>17</v>
      </c>
      <c r="J239" t="s">
        <v>18</v>
      </c>
      <c r="K239" t="s">
        <v>19</v>
      </c>
    </row>
    <row r="240" spans="1:11">
      <c r="A240" s="1">
        <v>45915</v>
      </c>
      <c r="B240" t="s">
        <v>90</v>
      </c>
      <c r="C240" t="s">
        <v>104</v>
      </c>
      <c r="D240" t="s">
        <v>117</v>
      </c>
      <c r="E240" t="s">
        <v>14</v>
      </c>
      <c r="F240" t="s">
        <v>26</v>
      </c>
      <c r="G240" s="2">
        <v>50</v>
      </c>
      <c r="H240" t="s">
        <v>27</v>
      </c>
      <c r="I240" t="s">
        <v>17</v>
      </c>
      <c r="J240" t="s">
        <v>18</v>
      </c>
      <c r="K240" t="s">
        <v>19</v>
      </c>
    </row>
    <row r="241" spans="1:11">
      <c r="A241" s="1">
        <v>45915</v>
      </c>
      <c r="B241" t="s">
        <v>90</v>
      </c>
      <c r="C241" t="s">
        <v>104</v>
      </c>
      <c r="D241" t="s">
        <v>119</v>
      </c>
      <c r="E241" t="s">
        <v>14</v>
      </c>
      <c r="F241" t="s">
        <v>26</v>
      </c>
      <c r="G241" s="2">
        <v>67</v>
      </c>
      <c r="H241" t="s">
        <v>27</v>
      </c>
      <c r="I241" t="s">
        <v>17</v>
      </c>
      <c r="J241" t="s">
        <v>18</v>
      </c>
      <c r="K241" t="s">
        <v>19</v>
      </c>
    </row>
    <row r="242" spans="1:11">
      <c r="A242" s="1">
        <v>45915</v>
      </c>
      <c r="B242" t="s">
        <v>90</v>
      </c>
      <c r="C242" t="s">
        <v>104</v>
      </c>
      <c r="D242" t="s">
        <v>120</v>
      </c>
      <c r="E242" t="s">
        <v>14</v>
      </c>
      <c r="F242" t="s">
        <v>26</v>
      </c>
      <c r="G242" s="2">
        <v>83</v>
      </c>
      <c r="H242" t="s">
        <v>27</v>
      </c>
      <c r="I242" t="s">
        <v>17</v>
      </c>
      <c r="J242" t="s">
        <v>18</v>
      </c>
      <c r="K242" t="s">
        <v>19</v>
      </c>
    </row>
    <row r="243" spans="1:11">
      <c r="A243" s="1">
        <v>45915</v>
      </c>
      <c r="B243" t="s">
        <v>90</v>
      </c>
      <c r="C243" t="s">
        <v>104</v>
      </c>
      <c r="D243" t="s">
        <v>123</v>
      </c>
      <c r="E243" t="s">
        <v>14</v>
      </c>
      <c r="F243" t="s">
        <v>26</v>
      </c>
      <c r="G243" s="2">
        <v>100</v>
      </c>
      <c r="H243" t="s">
        <v>27</v>
      </c>
      <c r="I243" t="s">
        <v>17</v>
      </c>
      <c r="J243" t="s">
        <v>18</v>
      </c>
      <c r="K243" t="s">
        <v>19</v>
      </c>
    </row>
    <row r="244" spans="1:11">
      <c r="A244" s="1">
        <v>45915</v>
      </c>
      <c r="B244" t="s">
        <v>90</v>
      </c>
      <c r="C244" t="s">
        <v>104</v>
      </c>
      <c r="D244" t="s">
        <v>162</v>
      </c>
      <c r="E244" t="s">
        <v>25</v>
      </c>
      <c r="F244" t="s">
        <v>26</v>
      </c>
      <c r="G244" s="2">
        <v>200</v>
      </c>
      <c r="H244" t="s">
        <v>27</v>
      </c>
      <c r="I244" t="s">
        <v>17</v>
      </c>
      <c r="J244" t="s">
        <v>18</v>
      </c>
      <c r="K244" t="s">
        <v>19</v>
      </c>
    </row>
    <row r="245" spans="1:11">
      <c r="A245" s="1">
        <v>45915</v>
      </c>
      <c r="B245" t="s">
        <v>90</v>
      </c>
      <c r="C245" t="s">
        <v>104</v>
      </c>
      <c r="D245" t="s">
        <v>162</v>
      </c>
      <c r="E245" t="s">
        <v>14</v>
      </c>
      <c r="F245" t="s">
        <v>26</v>
      </c>
      <c r="G245" s="2">
        <v>100</v>
      </c>
      <c r="H245" t="s">
        <v>27</v>
      </c>
      <c r="I245" t="s">
        <v>17</v>
      </c>
      <c r="J245" t="s">
        <v>18</v>
      </c>
      <c r="K245" t="s">
        <v>19</v>
      </c>
    </row>
    <row r="246" spans="1:11">
      <c r="A246" s="1">
        <v>45915</v>
      </c>
      <c r="B246" t="s">
        <v>90</v>
      </c>
      <c r="C246" t="s">
        <v>104</v>
      </c>
      <c r="D246" t="s">
        <v>133</v>
      </c>
      <c r="E246" t="s">
        <v>25</v>
      </c>
      <c r="F246" t="s">
        <v>26</v>
      </c>
      <c r="G246" s="2">
        <v>177</v>
      </c>
      <c r="H246" t="s">
        <v>27</v>
      </c>
      <c r="I246" t="s">
        <v>17</v>
      </c>
      <c r="J246" t="s">
        <v>18</v>
      </c>
      <c r="K246" t="s">
        <v>19</v>
      </c>
    </row>
    <row r="247" spans="1:11">
      <c r="A247" s="1">
        <v>45915</v>
      </c>
      <c r="B247" t="s">
        <v>90</v>
      </c>
      <c r="C247" t="s">
        <v>104</v>
      </c>
      <c r="D247" t="s">
        <v>133</v>
      </c>
      <c r="E247" t="s">
        <v>14</v>
      </c>
      <c r="F247" t="s">
        <v>26</v>
      </c>
      <c r="G247" s="2">
        <v>100</v>
      </c>
      <c r="H247" t="s">
        <v>27</v>
      </c>
      <c r="I247" t="s">
        <v>17</v>
      </c>
      <c r="J247" t="s">
        <v>18</v>
      </c>
      <c r="K247" t="s">
        <v>19</v>
      </c>
    </row>
    <row r="248" spans="1:11">
      <c r="A248" s="1">
        <v>45945</v>
      </c>
      <c r="B248" t="s">
        <v>11</v>
      </c>
      <c r="C248" t="s">
        <v>12</v>
      </c>
      <c r="D248" t="s">
        <v>13</v>
      </c>
      <c r="E248" t="s">
        <v>14</v>
      </c>
      <c r="F248" t="s">
        <v>15</v>
      </c>
      <c r="G248" s="2">
        <v>1500</v>
      </c>
      <c r="H248" t="s">
        <v>16</v>
      </c>
      <c r="I248" t="s">
        <v>17</v>
      </c>
      <c r="J248" t="s">
        <v>18</v>
      </c>
      <c r="K248" t="s">
        <v>19</v>
      </c>
    </row>
    <row r="249" spans="1:11">
      <c r="A249" s="1">
        <v>46006</v>
      </c>
      <c r="B249" t="s">
        <v>22</v>
      </c>
      <c r="C249" t="s">
        <v>30</v>
      </c>
      <c r="D249" t="s">
        <v>163</v>
      </c>
      <c r="E249" t="s">
        <v>25</v>
      </c>
      <c r="F249" t="s">
        <v>26</v>
      </c>
      <c r="G249" s="2">
        <v>131</v>
      </c>
      <c r="H249" t="s">
        <v>27</v>
      </c>
      <c r="I249" t="s">
        <v>17</v>
      </c>
      <c r="J249" t="s">
        <v>18</v>
      </c>
      <c r="K249" t="s">
        <v>19</v>
      </c>
    </row>
    <row r="250" spans="1:11">
      <c r="A250" s="1">
        <v>46006</v>
      </c>
      <c r="B250" t="s">
        <v>22</v>
      </c>
      <c r="C250" t="s">
        <v>30</v>
      </c>
      <c r="D250" t="s">
        <v>163</v>
      </c>
      <c r="E250" t="s">
        <v>14</v>
      </c>
      <c r="F250" t="s">
        <v>26</v>
      </c>
      <c r="G250" s="2">
        <v>60</v>
      </c>
      <c r="H250" t="s">
        <v>27</v>
      </c>
      <c r="I250" t="s">
        <v>17</v>
      </c>
      <c r="J250" t="s">
        <v>18</v>
      </c>
      <c r="K250" t="s">
        <v>19</v>
      </c>
    </row>
    <row r="251" spans="1:11">
      <c r="A251" s="1">
        <v>46006</v>
      </c>
      <c r="B251" t="s">
        <v>11</v>
      </c>
      <c r="C251" t="s">
        <v>43</v>
      </c>
      <c r="D251" t="s">
        <v>164</v>
      </c>
      <c r="E251" t="s">
        <v>25</v>
      </c>
      <c r="F251" t="s">
        <v>26</v>
      </c>
      <c r="G251" s="2">
        <v>160</v>
      </c>
      <c r="H251" t="s">
        <v>27</v>
      </c>
      <c r="I251" t="s">
        <v>17</v>
      </c>
      <c r="J251" t="s">
        <v>18</v>
      </c>
      <c r="K251" t="s">
        <v>19</v>
      </c>
    </row>
    <row r="252" spans="1:11">
      <c r="A252" s="1">
        <v>46006</v>
      </c>
      <c r="B252" t="s">
        <v>11</v>
      </c>
      <c r="C252" t="s">
        <v>43</v>
      </c>
      <c r="D252" t="s">
        <v>164</v>
      </c>
      <c r="E252" t="s">
        <v>14</v>
      </c>
      <c r="F252" t="s">
        <v>26</v>
      </c>
      <c r="G252" s="2">
        <v>50</v>
      </c>
      <c r="H252" t="s">
        <v>27</v>
      </c>
      <c r="I252" t="s">
        <v>17</v>
      </c>
      <c r="J252" t="s">
        <v>18</v>
      </c>
      <c r="K252" t="s">
        <v>19</v>
      </c>
    </row>
    <row r="253" spans="1:11">
      <c r="A253" s="1">
        <v>46006</v>
      </c>
      <c r="B253" t="s">
        <v>11</v>
      </c>
      <c r="C253" t="s">
        <v>43</v>
      </c>
      <c r="D253" t="s">
        <v>50</v>
      </c>
      <c r="E253" t="s">
        <v>25</v>
      </c>
      <c r="F253" t="s">
        <v>26</v>
      </c>
      <c r="G253" s="2">
        <v>155</v>
      </c>
      <c r="H253" t="s">
        <v>27</v>
      </c>
      <c r="I253" t="s">
        <v>17</v>
      </c>
      <c r="J253" t="s">
        <v>18</v>
      </c>
      <c r="K253" t="s">
        <v>19</v>
      </c>
    </row>
    <row r="254" spans="1:11">
      <c r="A254" s="1">
        <v>46006</v>
      </c>
      <c r="B254" t="s">
        <v>11</v>
      </c>
      <c r="C254" t="s">
        <v>43</v>
      </c>
      <c r="D254" t="s">
        <v>50</v>
      </c>
      <c r="E254" t="s">
        <v>14</v>
      </c>
      <c r="F254" t="s">
        <v>26</v>
      </c>
      <c r="G254" s="2">
        <v>100</v>
      </c>
      <c r="H254" t="s">
        <v>27</v>
      </c>
      <c r="I254" t="s">
        <v>17</v>
      </c>
      <c r="J254" t="s">
        <v>18</v>
      </c>
      <c r="K254" t="s">
        <v>19</v>
      </c>
    </row>
    <row r="255" spans="1:11">
      <c r="A255" s="1">
        <v>46006</v>
      </c>
      <c r="B255" t="s">
        <v>11</v>
      </c>
      <c r="C255" t="s">
        <v>43</v>
      </c>
      <c r="D255" t="s">
        <v>51</v>
      </c>
      <c r="E255" t="s">
        <v>25</v>
      </c>
      <c r="F255" t="s">
        <v>26</v>
      </c>
      <c r="G255" s="2">
        <v>131</v>
      </c>
      <c r="H255" t="s">
        <v>27</v>
      </c>
      <c r="I255" t="s">
        <v>17</v>
      </c>
      <c r="J255" t="s">
        <v>18</v>
      </c>
      <c r="K255" t="s">
        <v>19</v>
      </c>
    </row>
    <row r="256" spans="1:11">
      <c r="A256" s="1">
        <v>46006</v>
      </c>
      <c r="B256" t="s">
        <v>11</v>
      </c>
      <c r="C256" t="s">
        <v>43</v>
      </c>
      <c r="D256" t="s">
        <v>51</v>
      </c>
      <c r="E256" t="s">
        <v>14</v>
      </c>
      <c r="F256" t="s">
        <v>26</v>
      </c>
      <c r="G256" s="2">
        <v>67</v>
      </c>
      <c r="H256" t="s">
        <v>27</v>
      </c>
      <c r="I256" t="s">
        <v>17</v>
      </c>
      <c r="J256" t="s">
        <v>18</v>
      </c>
      <c r="K256" t="s">
        <v>19</v>
      </c>
    </row>
    <row r="257" spans="1:11">
      <c r="A257" s="1">
        <v>46006</v>
      </c>
      <c r="B257" t="s">
        <v>11</v>
      </c>
      <c r="C257" t="s">
        <v>61</v>
      </c>
      <c r="D257" t="s">
        <v>153</v>
      </c>
      <c r="E257" t="s">
        <v>25</v>
      </c>
      <c r="F257" t="s">
        <v>26</v>
      </c>
      <c r="G257" s="2">
        <v>127</v>
      </c>
      <c r="H257" t="s">
        <v>27</v>
      </c>
      <c r="I257" t="s">
        <v>17</v>
      </c>
      <c r="J257" t="s">
        <v>18</v>
      </c>
      <c r="K257" t="s">
        <v>19</v>
      </c>
    </row>
    <row r="258" spans="1:11">
      <c r="A258" s="1">
        <v>46006</v>
      </c>
      <c r="B258" t="s">
        <v>11</v>
      </c>
      <c r="C258" t="s">
        <v>61</v>
      </c>
      <c r="D258" t="s">
        <v>153</v>
      </c>
      <c r="E258" t="s">
        <v>14</v>
      </c>
      <c r="F258" t="s">
        <v>26</v>
      </c>
      <c r="G258" s="2">
        <v>100</v>
      </c>
      <c r="H258" t="s">
        <v>27</v>
      </c>
      <c r="I258" t="s">
        <v>17</v>
      </c>
      <c r="J258" t="s">
        <v>18</v>
      </c>
      <c r="K258" t="s">
        <v>19</v>
      </c>
    </row>
    <row r="259" spans="1:11">
      <c r="A259" s="1">
        <v>46006</v>
      </c>
      <c r="B259" t="s">
        <v>11</v>
      </c>
      <c r="C259" t="s">
        <v>61</v>
      </c>
      <c r="D259" t="s">
        <v>62</v>
      </c>
      <c r="E259" t="s">
        <v>25</v>
      </c>
      <c r="F259" t="s">
        <v>26</v>
      </c>
      <c r="G259" s="2">
        <v>140</v>
      </c>
      <c r="H259" t="s">
        <v>27</v>
      </c>
      <c r="I259" t="s">
        <v>17</v>
      </c>
      <c r="J259" t="s">
        <v>18</v>
      </c>
      <c r="K259" t="s">
        <v>19</v>
      </c>
    </row>
    <row r="260" spans="1:11">
      <c r="A260" s="1">
        <v>46006</v>
      </c>
      <c r="B260" t="s">
        <v>11</v>
      </c>
      <c r="C260" t="s">
        <v>61</v>
      </c>
      <c r="D260" t="s">
        <v>62</v>
      </c>
      <c r="E260" t="s">
        <v>14</v>
      </c>
      <c r="F260" t="s">
        <v>26</v>
      </c>
      <c r="G260" s="2">
        <v>65</v>
      </c>
      <c r="H260" t="s">
        <v>27</v>
      </c>
      <c r="I260" t="s">
        <v>17</v>
      </c>
      <c r="J260" t="s">
        <v>18</v>
      </c>
      <c r="K260" t="s">
        <v>19</v>
      </c>
    </row>
    <row r="261" spans="1:11">
      <c r="A261" s="1">
        <v>46006</v>
      </c>
      <c r="B261" t="s">
        <v>63</v>
      </c>
      <c r="C261" t="s">
        <v>64</v>
      </c>
      <c r="D261" t="s">
        <v>68</v>
      </c>
      <c r="E261" t="s">
        <v>14</v>
      </c>
      <c r="F261" t="s">
        <v>26</v>
      </c>
      <c r="G261" s="2">
        <v>100</v>
      </c>
      <c r="H261" t="s">
        <v>27</v>
      </c>
      <c r="I261" t="s">
        <v>17</v>
      </c>
      <c r="J261" t="s">
        <v>18</v>
      </c>
      <c r="K261" t="s">
        <v>19</v>
      </c>
    </row>
    <row r="262" spans="1:11">
      <c r="A262" s="1">
        <v>46006</v>
      </c>
      <c r="B262" t="s">
        <v>63</v>
      </c>
      <c r="C262" t="s">
        <v>64</v>
      </c>
      <c r="D262" t="s">
        <v>64</v>
      </c>
      <c r="E262" t="s">
        <v>25</v>
      </c>
      <c r="F262" t="s">
        <v>26</v>
      </c>
      <c r="G262" s="2">
        <v>120</v>
      </c>
      <c r="H262" t="s">
        <v>27</v>
      </c>
      <c r="I262" t="s">
        <v>17</v>
      </c>
      <c r="J262" t="s">
        <v>18</v>
      </c>
      <c r="K262" t="s">
        <v>19</v>
      </c>
    </row>
    <row r="263" spans="1:11">
      <c r="A263" s="1">
        <v>46006</v>
      </c>
      <c r="B263" t="s">
        <v>63</v>
      </c>
      <c r="C263" t="s">
        <v>64</v>
      </c>
      <c r="D263" t="s">
        <v>71</v>
      </c>
      <c r="E263" t="s">
        <v>25</v>
      </c>
      <c r="F263" t="s">
        <v>26</v>
      </c>
      <c r="G263" s="2">
        <v>120</v>
      </c>
      <c r="H263" t="s">
        <v>27</v>
      </c>
      <c r="I263" t="s">
        <v>17</v>
      </c>
      <c r="J263" t="s">
        <v>18</v>
      </c>
      <c r="K263" t="s">
        <v>19</v>
      </c>
    </row>
    <row r="264" spans="1:11">
      <c r="A264" s="1">
        <v>46006</v>
      </c>
      <c r="B264" t="s">
        <v>63</v>
      </c>
      <c r="C264" t="s">
        <v>64</v>
      </c>
      <c r="D264" t="s">
        <v>71</v>
      </c>
      <c r="E264" t="s">
        <v>14</v>
      </c>
      <c r="F264" t="s">
        <v>26</v>
      </c>
      <c r="G264" s="2">
        <v>100</v>
      </c>
      <c r="H264" t="s">
        <v>27</v>
      </c>
      <c r="I264" t="s">
        <v>17</v>
      </c>
      <c r="J264" t="s">
        <v>18</v>
      </c>
      <c r="K264" t="s">
        <v>19</v>
      </c>
    </row>
    <row r="265" spans="1:11">
      <c r="A265" s="1">
        <v>46006</v>
      </c>
      <c r="B265" t="s">
        <v>63</v>
      </c>
      <c r="C265" t="s">
        <v>64</v>
      </c>
      <c r="D265" t="s">
        <v>72</v>
      </c>
      <c r="E265" t="s">
        <v>14</v>
      </c>
      <c r="F265" t="s">
        <v>26</v>
      </c>
      <c r="G265" s="2">
        <v>62</v>
      </c>
      <c r="H265" t="s">
        <v>27</v>
      </c>
      <c r="I265" t="s">
        <v>17</v>
      </c>
      <c r="J265" t="s">
        <v>18</v>
      </c>
      <c r="K265" t="s">
        <v>19</v>
      </c>
    </row>
    <row r="266" spans="1:11">
      <c r="A266" s="1">
        <v>46006</v>
      </c>
      <c r="B266" t="s">
        <v>63</v>
      </c>
      <c r="C266" t="s">
        <v>64</v>
      </c>
      <c r="D266" t="s">
        <v>73</v>
      </c>
      <c r="E266" t="s">
        <v>25</v>
      </c>
      <c r="F266" t="s">
        <v>26</v>
      </c>
      <c r="G266" s="2">
        <v>120</v>
      </c>
      <c r="H266" t="s">
        <v>27</v>
      </c>
      <c r="I266" t="s">
        <v>17</v>
      </c>
      <c r="J266" t="s">
        <v>18</v>
      </c>
      <c r="K266" t="s">
        <v>19</v>
      </c>
    </row>
    <row r="267" spans="1:11">
      <c r="A267" s="1">
        <v>46006</v>
      </c>
      <c r="B267" t="s">
        <v>63</v>
      </c>
      <c r="C267" t="s">
        <v>79</v>
      </c>
      <c r="D267" t="s">
        <v>154</v>
      </c>
      <c r="E267" t="s">
        <v>25</v>
      </c>
      <c r="F267" t="s">
        <v>26</v>
      </c>
      <c r="G267" s="2">
        <v>130</v>
      </c>
      <c r="H267" t="s">
        <v>27</v>
      </c>
      <c r="I267" t="s">
        <v>17</v>
      </c>
      <c r="J267" t="s">
        <v>18</v>
      </c>
      <c r="K267" t="s">
        <v>19</v>
      </c>
    </row>
    <row r="268" spans="1:11">
      <c r="A268" s="1">
        <v>46006</v>
      </c>
      <c r="B268" t="s">
        <v>63</v>
      </c>
      <c r="C268" t="s">
        <v>79</v>
      </c>
      <c r="D268" t="s">
        <v>154</v>
      </c>
      <c r="E268" t="s">
        <v>14</v>
      </c>
      <c r="F268" t="s">
        <v>26</v>
      </c>
      <c r="G268" s="2">
        <v>100</v>
      </c>
      <c r="H268" t="s">
        <v>27</v>
      </c>
      <c r="I268" t="s">
        <v>17</v>
      </c>
      <c r="J268" t="s">
        <v>18</v>
      </c>
      <c r="K268" t="s">
        <v>19</v>
      </c>
    </row>
    <row r="269" spans="1:11">
      <c r="A269" s="1">
        <v>46006</v>
      </c>
      <c r="B269" t="s">
        <v>63</v>
      </c>
      <c r="C269" t="s">
        <v>79</v>
      </c>
      <c r="D269" t="s">
        <v>165</v>
      </c>
      <c r="E269" t="s">
        <v>25</v>
      </c>
      <c r="F269" t="s">
        <v>26</v>
      </c>
      <c r="G269" s="2">
        <v>135</v>
      </c>
      <c r="H269" t="s">
        <v>27</v>
      </c>
      <c r="I269" t="s">
        <v>17</v>
      </c>
      <c r="J269" t="s">
        <v>18</v>
      </c>
      <c r="K269" t="s">
        <v>19</v>
      </c>
    </row>
    <row r="270" spans="1:11">
      <c r="A270" s="1">
        <v>46006</v>
      </c>
      <c r="B270" t="s">
        <v>63</v>
      </c>
      <c r="C270" t="s">
        <v>79</v>
      </c>
      <c r="D270" t="s">
        <v>165</v>
      </c>
      <c r="E270" t="s">
        <v>14</v>
      </c>
      <c r="F270" t="s">
        <v>26</v>
      </c>
      <c r="G270" s="2">
        <v>100</v>
      </c>
      <c r="H270" t="s">
        <v>27</v>
      </c>
      <c r="I270" t="s">
        <v>17</v>
      </c>
      <c r="J270" t="s">
        <v>18</v>
      </c>
      <c r="K270" t="s">
        <v>19</v>
      </c>
    </row>
    <row r="271" spans="1:11">
      <c r="A271" s="1">
        <v>46006</v>
      </c>
      <c r="B271" t="s">
        <v>63</v>
      </c>
      <c r="C271" t="s">
        <v>79</v>
      </c>
      <c r="D271" t="s">
        <v>79</v>
      </c>
      <c r="E271" t="s">
        <v>25</v>
      </c>
      <c r="F271" t="s">
        <v>26</v>
      </c>
      <c r="G271" s="2">
        <v>120</v>
      </c>
      <c r="H271" t="s">
        <v>27</v>
      </c>
      <c r="I271" t="s">
        <v>17</v>
      </c>
      <c r="J271" t="s">
        <v>18</v>
      </c>
      <c r="K271" t="s">
        <v>19</v>
      </c>
    </row>
    <row r="272" spans="1:11">
      <c r="A272" s="1">
        <v>46006</v>
      </c>
      <c r="B272" t="s">
        <v>63</v>
      </c>
      <c r="C272" t="s">
        <v>79</v>
      </c>
      <c r="D272" t="s">
        <v>79</v>
      </c>
      <c r="E272" t="s">
        <v>14</v>
      </c>
      <c r="F272" t="s">
        <v>26</v>
      </c>
      <c r="G272" s="2">
        <v>50</v>
      </c>
      <c r="H272" t="s">
        <v>27</v>
      </c>
      <c r="I272" t="s">
        <v>17</v>
      </c>
      <c r="J272" t="s">
        <v>18</v>
      </c>
      <c r="K272" t="s">
        <v>19</v>
      </c>
    </row>
    <row r="273" spans="1:11">
      <c r="A273" s="1">
        <v>46006</v>
      </c>
      <c r="B273" t="s">
        <v>63</v>
      </c>
      <c r="C273" t="s">
        <v>79</v>
      </c>
      <c r="D273" t="s">
        <v>159</v>
      </c>
      <c r="E273" t="s">
        <v>25</v>
      </c>
      <c r="F273" t="s">
        <v>26</v>
      </c>
      <c r="G273" s="2">
        <v>120</v>
      </c>
      <c r="H273" t="s">
        <v>27</v>
      </c>
      <c r="I273" t="s">
        <v>17</v>
      </c>
      <c r="J273" t="s">
        <v>18</v>
      </c>
      <c r="K273" t="s">
        <v>19</v>
      </c>
    </row>
    <row r="274" spans="1:11">
      <c r="A274" s="1">
        <v>46006</v>
      </c>
      <c r="B274" t="s">
        <v>63</v>
      </c>
      <c r="C274" t="s">
        <v>79</v>
      </c>
      <c r="D274" t="s">
        <v>166</v>
      </c>
      <c r="E274" t="s">
        <v>25</v>
      </c>
      <c r="F274" t="s">
        <v>26</v>
      </c>
      <c r="G274" s="2">
        <v>120</v>
      </c>
      <c r="H274" t="s">
        <v>27</v>
      </c>
      <c r="I274" t="s">
        <v>17</v>
      </c>
      <c r="J274" t="s">
        <v>18</v>
      </c>
      <c r="K274" t="s">
        <v>19</v>
      </c>
    </row>
    <row r="275" spans="1:11">
      <c r="A275" s="1">
        <v>46006</v>
      </c>
      <c r="B275" t="s">
        <v>63</v>
      </c>
      <c r="C275" t="s">
        <v>79</v>
      </c>
      <c r="D275" t="s">
        <v>166</v>
      </c>
      <c r="E275" t="s">
        <v>14</v>
      </c>
      <c r="F275" t="s">
        <v>26</v>
      </c>
      <c r="G275" s="2">
        <v>120</v>
      </c>
      <c r="H275" t="s">
        <v>27</v>
      </c>
      <c r="I275" t="s">
        <v>17</v>
      </c>
      <c r="J275" t="s">
        <v>18</v>
      </c>
      <c r="K275" t="s">
        <v>19</v>
      </c>
    </row>
    <row r="276" spans="1:11">
      <c r="A276" s="1">
        <v>46006</v>
      </c>
      <c r="B276" t="s">
        <v>63</v>
      </c>
      <c r="C276" t="s">
        <v>79</v>
      </c>
      <c r="D276" t="s">
        <v>167</v>
      </c>
      <c r="E276" t="s">
        <v>25</v>
      </c>
      <c r="F276" t="s">
        <v>26</v>
      </c>
      <c r="G276" s="2">
        <v>147</v>
      </c>
      <c r="H276" t="s">
        <v>27</v>
      </c>
      <c r="I276" t="s">
        <v>17</v>
      </c>
      <c r="J276" t="s">
        <v>18</v>
      </c>
      <c r="K276" t="s">
        <v>19</v>
      </c>
    </row>
    <row r="277" spans="1:11">
      <c r="A277" s="1">
        <v>46006</v>
      </c>
      <c r="B277" t="s">
        <v>63</v>
      </c>
      <c r="C277" t="s">
        <v>81</v>
      </c>
      <c r="D277" t="s">
        <v>84</v>
      </c>
      <c r="E277" t="s">
        <v>25</v>
      </c>
      <c r="F277" t="s">
        <v>26</v>
      </c>
      <c r="G277" s="2">
        <v>120</v>
      </c>
      <c r="H277" t="s">
        <v>27</v>
      </c>
      <c r="I277" t="s">
        <v>17</v>
      </c>
      <c r="J277" t="s">
        <v>18</v>
      </c>
      <c r="K277" t="s">
        <v>19</v>
      </c>
    </row>
    <row r="278" spans="1:11">
      <c r="A278" s="1">
        <v>46006</v>
      </c>
      <c r="B278" t="s">
        <v>63</v>
      </c>
      <c r="C278" t="s">
        <v>81</v>
      </c>
      <c r="D278" t="s">
        <v>86</v>
      </c>
      <c r="E278" t="s">
        <v>25</v>
      </c>
      <c r="F278" t="s">
        <v>26</v>
      </c>
      <c r="G278" s="2">
        <v>160</v>
      </c>
      <c r="H278" t="s">
        <v>27</v>
      </c>
      <c r="I278" t="s">
        <v>17</v>
      </c>
      <c r="J278" t="s">
        <v>18</v>
      </c>
      <c r="K278" t="s">
        <v>19</v>
      </c>
    </row>
    <row r="279" spans="1:11">
      <c r="A279" s="1">
        <v>46006</v>
      </c>
      <c r="B279" t="s">
        <v>63</v>
      </c>
      <c r="C279" t="s">
        <v>81</v>
      </c>
      <c r="D279" t="s">
        <v>156</v>
      </c>
      <c r="E279" t="s">
        <v>25</v>
      </c>
      <c r="F279" t="s">
        <v>26</v>
      </c>
      <c r="G279" s="2">
        <v>150</v>
      </c>
      <c r="H279" t="s">
        <v>27</v>
      </c>
      <c r="I279" t="s">
        <v>17</v>
      </c>
      <c r="J279" t="s">
        <v>18</v>
      </c>
      <c r="K279" t="s">
        <v>19</v>
      </c>
    </row>
    <row r="280" spans="1:11">
      <c r="A280" s="1">
        <v>46006</v>
      </c>
      <c r="B280" t="s">
        <v>63</v>
      </c>
      <c r="C280" t="s">
        <v>81</v>
      </c>
      <c r="D280" t="s">
        <v>156</v>
      </c>
      <c r="E280" t="s">
        <v>14</v>
      </c>
      <c r="F280" t="s">
        <v>26</v>
      </c>
      <c r="G280" s="2">
        <v>50</v>
      </c>
      <c r="H280" t="s">
        <v>27</v>
      </c>
      <c r="I280" t="s">
        <v>17</v>
      </c>
      <c r="J280" t="s">
        <v>18</v>
      </c>
      <c r="K280" t="s">
        <v>19</v>
      </c>
    </row>
    <row r="281" spans="1:11">
      <c r="A281" s="1">
        <v>46006</v>
      </c>
      <c r="B281" t="s">
        <v>90</v>
      </c>
      <c r="C281" t="s">
        <v>104</v>
      </c>
      <c r="D281" t="s">
        <v>108</v>
      </c>
      <c r="E281" t="s">
        <v>25</v>
      </c>
      <c r="F281" t="s">
        <v>26</v>
      </c>
      <c r="G281" s="2">
        <v>153</v>
      </c>
      <c r="H281" t="s">
        <v>27</v>
      </c>
      <c r="I281" t="s">
        <v>17</v>
      </c>
      <c r="J281" t="s">
        <v>18</v>
      </c>
      <c r="K281" t="s">
        <v>19</v>
      </c>
    </row>
    <row r="282" spans="1:11">
      <c r="A282" s="1">
        <v>46006</v>
      </c>
      <c r="B282" t="s">
        <v>90</v>
      </c>
      <c r="C282" t="s">
        <v>104</v>
      </c>
      <c r="D282" t="s">
        <v>109</v>
      </c>
      <c r="E282" t="s">
        <v>25</v>
      </c>
      <c r="F282" t="s">
        <v>26</v>
      </c>
      <c r="G282" s="2">
        <v>167</v>
      </c>
      <c r="H282" t="s">
        <v>27</v>
      </c>
      <c r="I282" t="s">
        <v>17</v>
      </c>
      <c r="J282" t="s">
        <v>18</v>
      </c>
      <c r="K282" t="s">
        <v>19</v>
      </c>
    </row>
    <row r="283" spans="1:11">
      <c r="A283" s="1">
        <v>46006</v>
      </c>
      <c r="B283" t="s">
        <v>90</v>
      </c>
      <c r="C283" t="s">
        <v>104</v>
      </c>
      <c r="D283" t="s">
        <v>109</v>
      </c>
      <c r="E283" t="s">
        <v>14</v>
      </c>
      <c r="F283" t="s">
        <v>26</v>
      </c>
      <c r="G283" s="2">
        <v>93</v>
      </c>
      <c r="H283" t="s">
        <v>27</v>
      </c>
      <c r="I283" t="s">
        <v>17</v>
      </c>
      <c r="J283" t="s">
        <v>18</v>
      </c>
      <c r="K283" t="s">
        <v>19</v>
      </c>
    </row>
    <row r="284" spans="1:11">
      <c r="A284" s="1">
        <v>46006</v>
      </c>
      <c r="B284" t="s">
        <v>90</v>
      </c>
      <c r="C284" t="s">
        <v>104</v>
      </c>
      <c r="D284" t="s">
        <v>112</v>
      </c>
      <c r="E284" t="s">
        <v>25</v>
      </c>
      <c r="F284" t="s">
        <v>26</v>
      </c>
      <c r="G284" s="2">
        <v>167</v>
      </c>
      <c r="H284" t="s">
        <v>27</v>
      </c>
      <c r="I284" t="s">
        <v>17</v>
      </c>
      <c r="J284" t="s">
        <v>18</v>
      </c>
      <c r="K284" t="s">
        <v>19</v>
      </c>
    </row>
    <row r="285" spans="1:11">
      <c r="A285" s="1">
        <v>46006</v>
      </c>
      <c r="B285" t="s">
        <v>90</v>
      </c>
      <c r="C285" t="s">
        <v>104</v>
      </c>
      <c r="D285" t="s">
        <v>112</v>
      </c>
      <c r="E285" t="s">
        <v>14</v>
      </c>
      <c r="F285" t="s">
        <v>26</v>
      </c>
      <c r="G285" s="2">
        <v>130</v>
      </c>
      <c r="H285" t="s">
        <v>27</v>
      </c>
      <c r="I285" t="s">
        <v>17</v>
      </c>
      <c r="J285" t="s">
        <v>18</v>
      </c>
      <c r="K285" t="s">
        <v>19</v>
      </c>
    </row>
    <row r="286" spans="1:11">
      <c r="A286" s="1">
        <v>46006</v>
      </c>
      <c r="B286" t="s">
        <v>90</v>
      </c>
      <c r="C286" t="s">
        <v>104</v>
      </c>
      <c r="D286" t="s">
        <v>113</v>
      </c>
      <c r="E286" t="s">
        <v>25</v>
      </c>
      <c r="F286" t="s">
        <v>26</v>
      </c>
      <c r="G286" s="2">
        <v>160</v>
      </c>
      <c r="H286" t="s">
        <v>27</v>
      </c>
      <c r="I286" t="s">
        <v>17</v>
      </c>
      <c r="J286" t="s">
        <v>18</v>
      </c>
      <c r="K286" t="s">
        <v>19</v>
      </c>
    </row>
    <row r="287" spans="1:11">
      <c r="A287" s="1">
        <v>46006</v>
      </c>
      <c r="B287" t="s">
        <v>90</v>
      </c>
      <c r="C287" t="s">
        <v>104</v>
      </c>
      <c r="D287" t="s">
        <v>113</v>
      </c>
      <c r="E287" t="s">
        <v>14</v>
      </c>
      <c r="F287" t="s">
        <v>26</v>
      </c>
      <c r="G287" s="2">
        <v>100</v>
      </c>
      <c r="H287" t="s">
        <v>27</v>
      </c>
      <c r="I287" t="s">
        <v>17</v>
      </c>
      <c r="J287" t="s">
        <v>18</v>
      </c>
      <c r="K287" t="s">
        <v>19</v>
      </c>
    </row>
    <row r="288" spans="1:11">
      <c r="A288" s="1">
        <v>46006</v>
      </c>
      <c r="B288" t="s">
        <v>90</v>
      </c>
      <c r="C288" t="s">
        <v>104</v>
      </c>
      <c r="D288" t="s">
        <v>114</v>
      </c>
      <c r="E288" t="s">
        <v>25</v>
      </c>
      <c r="F288" t="s">
        <v>26</v>
      </c>
      <c r="G288" s="2">
        <v>167</v>
      </c>
      <c r="H288" t="s">
        <v>27</v>
      </c>
      <c r="I288" t="s">
        <v>17</v>
      </c>
      <c r="J288" t="s">
        <v>18</v>
      </c>
      <c r="K288" t="s">
        <v>19</v>
      </c>
    </row>
    <row r="289" spans="1:11">
      <c r="A289" s="1">
        <v>46006</v>
      </c>
      <c r="B289" t="s">
        <v>90</v>
      </c>
      <c r="C289" t="s">
        <v>104</v>
      </c>
      <c r="D289" t="s">
        <v>114</v>
      </c>
      <c r="E289" t="s">
        <v>14</v>
      </c>
      <c r="F289" t="s">
        <v>26</v>
      </c>
      <c r="G289" s="2">
        <v>118</v>
      </c>
      <c r="H289" t="s">
        <v>27</v>
      </c>
      <c r="I289" t="s">
        <v>17</v>
      </c>
      <c r="J289" t="s">
        <v>18</v>
      </c>
      <c r="K289" t="s">
        <v>19</v>
      </c>
    </row>
    <row r="290" spans="1:11">
      <c r="A290" s="1">
        <v>46006</v>
      </c>
      <c r="B290" t="s">
        <v>90</v>
      </c>
      <c r="C290" t="s">
        <v>104</v>
      </c>
      <c r="D290" t="s">
        <v>168</v>
      </c>
      <c r="E290" t="s">
        <v>25</v>
      </c>
      <c r="F290" t="s">
        <v>26</v>
      </c>
      <c r="G290" s="2">
        <v>165</v>
      </c>
      <c r="H290" t="s">
        <v>27</v>
      </c>
      <c r="I290" t="s">
        <v>17</v>
      </c>
      <c r="J290" t="s">
        <v>18</v>
      </c>
      <c r="K290" t="s">
        <v>19</v>
      </c>
    </row>
    <row r="291" spans="1:11">
      <c r="A291" s="1">
        <v>46006</v>
      </c>
      <c r="B291" t="s">
        <v>90</v>
      </c>
      <c r="C291" t="s">
        <v>104</v>
      </c>
      <c r="D291" t="s">
        <v>168</v>
      </c>
      <c r="E291" t="s">
        <v>14</v>
      </c>
      <c r="F291" t="s">
        <v>26</v>
      </c>
      <c r="G291" s="2">
        <v>50</v>
      </c>
      <c r="H291" t="s">
        <v>27</v>
      </c>
      <c r="I291" t="s">
        <v>17</v>
      </c>
      <c r="J291" t="s">
        <v>18</v>
      </c>
      <c r="K291" t="s">
        <v>19</v>
      </c>
    </row>
    <row r="292" spans="1:11">
      <c r="A292" s="1">
        <v>46006</v>
      </c>
      <c r="B292" t="s">
        <v>90</v>
      </c>
      <c r="C292" t="s">
        <v>104</v>
      </c>
      <c r="D292" t="s">
        <v>118</v>
      </c>
      <c r="E292" t="s">
        <v>25</v>
      </c>
      <c r="F292" t="s">
        <v>26</v>
      </c>
      <c r="G292" s="2">
        <v>160</v>
      </c>
      <c r="H292" t="s">
        <v>27</v>
      </c>
      <c r="I292" t="s">
        <v>17</v>
      </c>
      <c r="J292" t="s">
        <v>18</v>
      </c>
      <c r="K292" t="s">
        <v>19</v>
      </c>
    </row>
    <row r="293" spans="1:11">
      <c r="A293" s="1">
        <v>46006</v>
      </c>
      <c r="B293" t="s">
        <v>90</v>
      </c>
      <c r="C293" t="s">
        <v>104</v>
      </c>
      <c r="D293" t="s">
        <v>118</v>
      </c>
      <c r="E293" t="s">
        <v>14</v>
      </c>
      <c r="F293" t="s">
        <v>26</v>
      </c>
      <c r="G293" s="2">
        <v>90</v>
      </c>
      <c r="H293" t="s">
        <v>27</v>
      </c>
      <c r="I293" t="s">
        <v>17</v>
      </c>
      <c r="J293" t="s">
        <v>18</v>
      </c>
      <c r="K293" t="s">
        <v>19</v>
      </c>
    </row>
    <row r="294" spans="1:11">
      <c r="A294" s="1">
        <v>46006</v>
      </c>
      <c r="B294" t="s">
        <v>90</v>
      </c>
      <c r="C294" t="s">
        <v>104</v>
      </c>
      <c r="D294" t="s">
        <v>119</v>
      </c>
      <c r="E294" t="s">
        <v>25</v>
      </c>
      <c r="F294" t="s">
        <v>26</v>
      </c>
      <c r="G294" s="2">
        <v>153</v>
      </c>
      <c r="H294" t="s">
        <v>27</v>
      </c>
      <c r="I294" t="s">
        <v>17</v>
      </c>
      <c r="J294" t="s">
        <v>18</v>
      </c>
      <c r="K294" t="s">
        <v>19</v>
      </c>
    </row>
    <row r="295" spans="1:11">
      <c r="A295" s="1">
        <v>46006</v>
      </c>
      <c r="B295" t="s">
        <v>90</v>
      </c>
      <c r="C295" t="s">
        <v>104</v>
      </c>
      <c r="D295" t="s">
        <v>120</v>
      </c>
      <c r="E295" t="s">
        <v>25</v>
      </c>
      <c r="F295" t="s">
        <v>26</v>
      </c>
      <c r="G295" s="2">
        <v>157</v>
      </c>
      <c r="H295" t="s">
        <v>27</v>
      </c>
      <c r="I295" t="s">
        <v>17</v>
      </c>
      <c r="J295" t="s">
        <v>18</v>
      </c>
      <c r="K295" t="s">
        <v>19</v>
      </c>
    </row>
    <row r="296" spans="1:11">
      <c r="A296" s="1">
        <v>46006</v>
      </c>
      <c r="B296" t="s">
        <v>90</v>
      </c>
      <c r="C296" t="s">
        <v>104</v>
      </c>
      <c r="D296" t="s">
        <v>120</v>
      </c>
      <c r="E296" t="s">
        <v>14</v>
      </c>
      <c r="F296" t="s">
        <v>26</v>
      </c>
      <c r="G296" s="2">
        <v>100</v>
      </c>
      <c r="H296" t="s">
        <v>27</v>
      </c>
      <c r="I296" t="s">
        <v>17</v>
      </c>
      <c r="J296" t="s">
        <v>18</v>
      </c>
      <c r="K296" t="s">
        <v>19</v>
      </c>
    </row>
    <row r="297" spans="1:11">
      <c r="A297" s="1">
        <v>46006</v>
      </c>
      <c r="B297" t="s">
        <v>90</v>
      </c>
      <c r="C297" t="s">
        <v>104</v>
      </c>
      <c r="D297" t="s">
        <v>123</v>
      </c>
      <c r="E297" t="s">
        <v>25</v>
      </c>
      <c r="F297" t="s">
        <v>26</v>
      </c>
      <c r="G297" s="2">
        <v>150</v>
      </c>
      <c r="H297" t="s">
        <v>27</v>
      </c>
      <c r="I297" t="s">
        <v>17</v>
      </c>
      <c r="J297" t="s">
        <v>18</v>
      </c>
      <c r="K297" t="s">
        <v>19</v>
      </c>
    </row>
    <row r="298" spans="1:11">
      <c r="A298" s="1">
        <v>46006</v>
      </c>
      <c r="B298" t="s">
        <v>90</v>
      </c>
      <c r="C298" t="s">
        <v>104</v>
      </c>
      <c r="D298" t="s">
        <v>123</v>
      </c>
      <c r="E298" t="s">
        <v>14</v>
      </c>
      <c r="F298" t="s">
        <v>26</v>
      </c>
      <c r="G298" s="2">
        <v>50</v>
      </c>
      <c r="H298" t="s">
        <v>27</v>
      </c>
      <c r="I298" t="s">
        <v>17</v>
      </c>
      <c r="J298" t="s">
        <v>18</v>
      </c>
      <c r="K298" t="s">
        <v>19</v>
      </c>
    </row>
    <row r="299" spans="1:11">
      <c r="A299" s="1">
        <v>46006</v>
      </c>
      <c r="B299" t="s">
        <v>90</v>
      </c>
      <c r="C299" t="s">
        <v>104</v>
      </c>
      <c r="D299" t="s">
        <v>169</v>
      </c>
      <c r="E299" t="s">
        <v>25</v>
      </c>
      <c r="F299" t="s">
        <v>26</v>
      </c>
      <c r="G299" s="2">
        <v>198</v>
      </c>
      <c r="H299" t="s">
        <v>27</v>
      </c>
      <c r="I299" t="s">
        <v>17</v>
      </c>
      <c r="J299" t="s">
        <v>18</v>
      </c>
      <c r="K299" t="s">
        <v>19</v>
      </c>
    </row>
    <row r="300" spans="1:11">
      <c r="A300" s="1">
        <v>46006</v>
      </c>
      <c r="B300" t="s">
        <v>90</v>
      </c>
      <c r="C300" t="s">
        <v>104</v>
      </c>
      <c r="D300" t="s">
        <v>169</v>
      </c>
      <c r="E300" t="s">
        <v>14</v>
      </c>
      <c r="F300" t="s">
        <v>26</v>
      </c>
      <c r="G300" s="2">
        <v>90</v>
      </c>
      <c r="H300" t="s">
        <v>27</v>
      </c>
      <c r="I300" t="s">
        <v>17</v>
      </c>
      <c r="J300" t="s">
        <v>18</v>
      </c>
      <c r="K300" t="s">
        <v>19</v>
      </c>
    </row>
    <row r="301" spans="1:11">
      <c r="A301" s="1">
        <v>46096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s="2">
        <v>157</v>
      </c>
      <c r="H301" t="s">
        <v>27</v>
      </c>
      <c r="I301" t="s">
        <v>17</v>
      </c>
      <c r="J301" t="s">
        <v>18</v>
      </c>
      <c r="K301" t="s">
        <v>19</v>
      </c>
    </row>
    <row r="302" spans="1:11">
      <c r="A302" s="1">
        <v>46096</v>
      </c>
      <c r="B302" t="s">
        <v>22</v>
      </c>
      <c r="C302" t="s">
        <v>23</v>
      </c>
      <c r="D302" t="s">
        <v>150</v>
      </c>
      <c r="E302" t="s">
        <v>25</v>
      </c>
      <c r="F302" t="s">
        <v>26</v>
      </c>
      <c r="G302" s="2">
        <v>156</v>
      </c>
      <c r="H302" t="s">
        <v>27</v>
      </c>
      <c r="I302" t="s">
        <v>17</v>
      </c>
      <c r="J302" t="s">
        <v>18</v>
      </c>
      <c r="K302" t="s">
        <v>19</v>
      </c>
    </row>
    <row r="303" spans="1:11">
      <c r="A303" s="1">
        <v>46096</v>
      </c>
      <c r="B303" t="s">
        <v>22</v>
      </c>
      <c r="C303" t="s">
        <v>30</v>
      </c>
      <c r="D303" t="s">
        <v>31</v>
      </c>
      <c r="E303" t="s">
        <v>25</v>
      </c>
      <c r="F303" t="s">
        <v>26</v>
      </c>
      <c r="G303" s="2">
        <v>153</v>
      </c>
      <c r="H303" t="s">
        <v>27</v>
      </c>
      <c r="I303" t="s">
        <v>17</v>
      </c>
      <c r="J303" t="s">
        <v>18</v>
      </c>
      <c r="K303" t="s">
        <v>19</v>
      </c>
    </row>
    <row r="304" spans="1:11">
      <c r="A304" s="1">
        <v>46096</v>
      </c>
      <c r="B304" t="s">
        <v>22</v>
      </c>
      <c r="C304" t="s">
        <v>30</v>
      </c>
      <c r="D304" t="s">
        <v>31</v>
      </c>
      <c r="E304" t="s">
        <v>14</v>
      </c>
      <c r="F304" t="s">
        <v>26</v>
      </c>
      <c r="G304" s="2">
        <v>78</v>
      </c>
      <c r="H304" t="s">
        <v>27</v>
      </c>
      <c r="I304" t="s">
        <v>17</v>
      </c>
      <c r="J304" t="s">
        <v>18</v>
      </c>
      <c r="K304" t="s">
        <v>19</v>
      </c>
    </row>
    <row r="305" spans="1:11">
      <c r="A305" s="1">
        <v>46096</v>
      </c>
      <c r="B305" t="s">
        <v>22</v>
      </c>
      <c r="C305" t="s">
        <v>30</v>
      </c>
      <c r="D305" t="s">
        <v>33</v>
      </c>
      <c r="E305" t="s">
        <v>25</v>
      </c>
      <c r="F305" t="s">
        <v>26</v>
      </c>
      <c r="G305" s="2">
        <v>145</v>
      </c>
      <c r="H305" t="s">
        <v>27</v>
      </c>
      <c r="I305" t="s">
        <v>17</v>
      </c>
      <c r="J305" t="s">
        <v>18</v>
      </c>
      <c r="K305" t="s">
        <v>19</v>
      </c>
    </row>
    <row r="306" spans="1:11">
      <c r="A306" s="1">
        <v>46096</v>
      </c>
      <c r="B306" t="s">
        <v>22</v>
      </c>
      <c r="C306" t="s">
        <v>30</v>
      </c>
      <c r="D306" t="s">
        <v>33</v>
      </c>
      <c r="E306" t="s">
        <v>14</v>
      </c>
      <c r="F306" t="s">
        <v>26</v>
      </c>
      <c r="G306" s="2">
        <v>100</v>
      </c>
      <c r="H306" t="s">
        <v>27</v>
      </c>
      <c r="I306" t="s">
        <v>17</v>
      </c>
      <c r="J306" t="s">
        <v>18</v>
      </c>
      <c r="K306" t="s">
        <v>19</v>
      </c>
    </row>
    <row r="307" spans="1:11">
      <c r="A307" s="1">
        <v>46096</v>
      </c>
      <c r="B307" t="s">
        <v>22</v>
      </c>
      <c r="C307" t="s">
        <v>30</v>
      </c>
      <c r="D307" t="s">
        <v>34</v>
      </c>
      <c r="E307" t="s">
        <v>25</v>
      </c>
      <c r="F307" t="s">
        <v>26</v>
      </c>
      <c r="G307" s="2">
        <v>158</v>
      </c>
      <c r="H307" t="s">
        <v>27</v>
      </c>
      <c r="I307" t="s">
        <v>17</v>
      </c>
      <c r="J307" t="s">
        <v>18</v>
      </c>
      <c r="K307" t="s">
        <v>19</v>
      </c>
    </row>
    <row r="308" spans="1:11">
      <c r="A308" s="1">
        <v>46096</v>
      </c>
      <c r="B308" t="s">
        <v>22</v>
      </c>
      <c r="C308" t="s">
        <v>30</v>
      </c>
      <c r="D308" t="s">
        <v>34</v>
      </c>
      <c r="E308" t="s">
        <v>14</v>
      </c>
      <c r="F308" t="s">
        <v>26</v>
      </c>
      <c r="G308" s="2">
        <v>75</v>
      </c>
      <c r="H308" t="s">
        <v>27</v>
      </c>
      <c r="I308" t="s">
        <v>17</v>
      </c>
      <c r="J308" t="s">
        <v>18</v>
      </c>
      <c r="K308" t="s">
        <v>19</v>
      </c>
    </row>
    <row r="309" spans="1:11">
      <c r="A309" s="1">
        <v>46096</v>
      </c>
      <c r="B309" t="s">
        <v>22</v>
      </c>
      <c r="C309" t="s">
        <v>30</v>
      </c>
      <c r="D309" t="s">
        <v>35</v>
      </c>
      <c r="E309" t="s">
        <v>25</v>
      </c>
      <c r="F309" t="s">
        <v>26</v>
      </c>
      <c r="G309" s="2">
        <v>151</v>
      </c>
      <c r="H309" t="s">
        <v>27</v>
      </c>
      <c r="I309" t="s">
        <v>17</v>
      </c>
      <c r="J309" t="s">
        <v>18</v>
      </c>
      <c r="K309" t="s">
        <v>19</v>
      </c>
    </row>
    <row r="310" spans="1:11">
      <c r="A310" s="1">
        <v>46096</v>
      </c>
      <c r="B310" t="s">
        <v>22</v>
      </c>
      <c r="C310" t="s">
        <v>30</v>
      </c>
      <c r="D310" t="s">
        <v>36</v>
      </c>
      <c r="E310" t="s">
        <v>25</v>
      </c>
      <c r="F310" t="s">
        <v>26</v>
      </c>
      <c r="G310" s="2">
        <v>150</v>
      </c>
      <c r="H310" t="s">
        <v>27</v>
      </c>
      <c r="I310" t="s">
        <v>17</v>
      </c>
      <c r="J310" t="s">
        <v>18</v>
      </c>
      <c r="K310" t="s">
        <v>19</v>
      </c>
    </row>
    <row r="311" spans="1:11">
      <c r="A311" s="1">
        <v>46096</v>
      </c>
      <c r="B311" t="s">
        <v>22</v>
      </c>
      <c r="C311" t="s">
        <v>30</v>
      </c>
      <c r="D311" t="s">
        <v>37</v>
      </c>
      <c r="E311" t="s">
        <v>25</v>
      </c>
      <c r="F311" t="s">
        <v>26</v>
      </c>
      <c r="G311" s="2">
        <v>156</v>
      </c>
      <c r="H311" t="s">
        <v>27</v>
      </c>
      <c r="I311" t="s">
        <v>17</v>
      </c>
      <c r="J311" t="s">
        <v>18</v>
      </c>
      <c r="K311" t="s">
        <v>19</v>
      </c>
    </row>
    <row r="312" spans="1:11">
      <c r="A312" s="1">
        <v>46096</v>
      </c>
      <c r="B312" t="s">
        <v>22</v>
      </c>
      <c r="C312" t="s">
        <v>30</v>
      </c>
      <c r="D312" t="s">
        <v>37</v>
      </c>
      <c r="E312" t="s">
        <v>14</v>
      </c>
      <c r="F312" t="s">
        <v>26</v>
      </c>
      <c r="G312" s="2">
        <v>80</v>
      </c>
      <c r="H312" t="s">
        <v>27</v>
      </c>
      <c r="I312" t="s">
        <v>17</v>
      </c>
      <c r="J312" t="s">
        <v>18</v>
      </c>
      <c r="K312" t="s">
        <v>19</v>
      </c>
    </row>
    <row r="313" spans="1:11">
      <c r="A313" s="1">
        <v>46096</v>
      </c>
      <c r="B313" t="s">
        <v>22</v>
      </c>
      <c r="C313" t="s">
        <v>30</v>
      </c>
      <c r="D313" t="s">
        <v>38</v>
      </c>
      <c r="E313" t="s">
        <v>25</v>
      </c>
      <c r="F313" t="s">
        <v>26</v>
      </c>
      <c r="G313" s="2">
        <v>160</v>
      </c>
      <c r="H313" t="s">
        <v>27</v>
      </c>
      <c r="I313" t="s">
        <v>17</v>
      </c>
      <c r="J313" t="s">
        <v>18</v>
      </c>
      <c r="K313" t="s">
        <v>19</v>
      </c>
    </row>
    <row r="314" spans="1:11">
      <c r="A314" s="1">
        <v>46096</v>
      </c>
      <c r="B314" t="s">
        <v>22</v>
      </c>
      <c r="C314" t="s">
        <v>30</v>
      </c>
      <c r="D314" t="s">
        <v>39</v>
      </c>
      <c r="E314" t="s">
        <v>25</v>
      </c>
      <c r="F314" t="s">
        <v>26</v>
      </c>
      <c r="G314" s="2">
        <v>160</v>
      </c>
      <c r="H314" t="s">
        <v>27</v>
      </c>
      <c r="I314" t="s">
        <v>17</v>
      </c>
      <c r="J314" t="s">
        <v>18</v>
      </c>
      <c r="K314" t="s">
        <v>19</v>
      </c>
    </row>
    <row r="315" spans="1:11">
      <c r="A315" s="1">
        <v>46096</v>
      </c>
      <c r="B315" t="s">
        <v>22</v>
      </c>
      <c r="C315" t="s">
        <v>30</v>
      </c>
      <c r="D315" t="s">
        <v>39</v>
      </c>
      <c r="E315" t="s">
        <v>14</v>
      </c>
      <c r="F315" t="s">
        <v>26</v>
      </c>
      <c r="G315" s="2">
        <v>100</v>
      </c>
      <c r="H315" t="s">
        <v>27</v>
      </c>
      <c r="I315" t="s">
        <v>17</v>
      </c>
      <c r="J315" t="s">
        <v>18</v>
      </c>
      <c r="K315" t="s">
        <v>19</v>
      </c>
    </row>
    <row r="316" spans="1:11">
      <c r="A316" s="1">
        <v>46096</v>
      </c>
      <c r="B316" t="s">
        <v>22</v>
      </c>
      <c r="C316" t="s">
        <v>30</v>
      </c>
      <c r="D316" t="s">
        <v>163</v>
      </c>
      <c r="E316" t="s">
        <v>25</v>
      </c>
      <c r="F316" t="s">
        <v>26</v>
      </c>
      <c r="G316" s="2">
        <v>154</v>
      </c>
      <c r="H316" t="s">
        <v>27</v>
      </c>
      <c r="I316" t="s">
        <v>17</v>
      </c>
      <c r="J316" t="s">
        <v>18</v>
      </c>
      <c r="K316" t="s">
        <v>19</v>
      </c>
    </row>
    <row r="317" spans="1:11">
      <c r="A317" s="1">
        <v>46096</v>
      </c>
      <c r="B317" t="s">
        <v>22</v>
      </c>
      <c r="C317" t="s">
        <v>30</v>
      </c>
      <c r="D317" t="s">
        <v>163</v>
      </c>
      <c r="E317" t="s">
        <v>14</v>
      </c>
      <c r="F317" t="s">
        <v>26</v>
      </c>
      <c r="G317" s="2">
        <v>68</v>
      </c>
      <c r="H317" t="s">
        <v>27</v>
      </c>
      <c r="I317" t="s">
        <v>17</v>
      </c>
      <c r="J317" t="s">
        <v>18</v>
      </c>
      <c r="K317" t="s">
        <v>19</v>
      </c>
    </row>
    <row r="318" spans="1:11">
      <c r="A318" s="1">
        <v>46096</v>
      </c>
      <c r="B318" t="s">
        <v>22</v>
      </c>
      <c r="C318" t="s">
        <v>30</v>
      </c>
      <c r="D318" t="s">
        <v>151</v>
      </c>
      <c r="E318" t="s">
        <v>25</v>
      </c>
      <c r="F318" t="s">
        <v>26</v>
      </c>
      <c r="G318" s="2">
        <v>150</v>
      </c>
      <c r="H318" t="s">
        <v>27</v>
      </c>
      <c r="I318" t="s">
        <v>17</v>
      </c>
      <c r="J318" t="s">
        <v>18</v>
      </c>
      <c r="K318" t="s">
        <v>19</v>
      </c>
    </row>
    <row r="319" spans="1:11">
      <c r="A319" s="1">
        <v>46096</v>
      </c>
      <c r="B319" t="s">
        <v>22</v>
      </c>
      <c r="C319" t="s">
        <v>30</v>
      </c>
      <c r="D319" t="s">
        <v>40</v>
      </c>
      <c r="E319" t="s">
        <v>25</v>
      </c>
      <c r="F319" t="s">
        <v>26</v>
      </c>
      <c r="G319" s="2">
        <v>143</v>
      </c>
      <c r="H319" t="s">
        <v>27</v>
      </c>
      <c r="I319" t="s">
        <v>17</v>
      </c>
      <c r="J319" t="s">
        <v>18</v>
      </c>
      <c r="K319" t="s">
        <v>19</v>
      </c>
    </row>
    <row r="320" spans="1:11">
      <c r="A320" s="1">
        <v>46096</v>
      </c>
      <c r="B320" t="s">
        <v>22</v>
      </c>
      <c r="C320" t="s">
        <v>30</v>
      </c>
      <c r="D320" t="s">
        <v>40</v>
      </c>
      <c r="E320" t="s">
        <v>14</v>
      </c>
      <c r="F320" t="s">
        <v>26</v>
      </c>
      <c r="G320" s="2">
        <v>60</v>
      </c>
      <c r="H320" t="s">
        <v>27</v>
      </c>
      <c r="I320" t="s">
        <v>17</v>
      </c>
      <c r="J320" t="s">
        <v>18</v>
      </c>
      <c r="K320" t="s">
        <v>19</v>
      </c>
    </row>
    <row r="321" spans="1:11">
      <c r="A321" s="1">
        <v>46096</v>
      </c>
      <c r="B321" t="s">
        <v>22</v>
      </c>
      <c r="C321" t="s">
        <v>30</v>
      </c>
      <c r="D321" t="s">
        <v>41</v>
      </c>
      <c r="E321" t="s">
        <v>25</v>
      </c>
      <c r="F321" t="s">
        <v>26</v>
      </c>
      <c r="G321" s="2">
        <v>159</v>
      </c>
      <c r="H321" t="s">
        <v>27</v>
      </c>
      <c r="I321" t="s">
        <v>17</v>
      </c>
      <c r="J321" t="s">
        <v>18</v>
      </c>
      <c r="K321" t="s">
        <v>19</v>
      </c>
    </row>
    <row r="322" spans="1:11">
      <c r="A322" s="1">
        <v>46096</v>
      </c>
      <c r="B322" t="s">
        <v>11</v>
      </c>
      <c r="C322" t="s">
        <v>43</v>
      </c>
      <c r="D322" t="s">
        <v>44</v>
      </c>
      <c r="E322" t="s">
        <v>25</v>
      </c>
      <c r="F322" t="s">
        <v>26</v>
      </c>
      <c r="G322" s="2">
        <v>200</v>
      </c>
      <c r="H322" t="s">
        <v>27</v>
      </c>
      <c r="I322" t="s">
        <v>17</v>
      </c>
      <c r="J322" t="s">
        <v>18</v>
      </c>
      <c r="K322" t="s">
        <v>19</v>
      </c>
    </row>
    <row r="323" spans="1:11">
      <c r="A323" s="1">
        <v>46096</v>
      </c>
      <c r="B323" t="s">
        <v>11</v>
      </c>
      <c r="C323" t="s">
        <v>43</v>
      </c>
      <c r="D323" t="s">
        <v>44</v>
      </c>
      <c r="E323" t="s">
        <v>14</v>
      </c>
      <c r="F323" t="s">
        <v>26</v>
      </c>
      <c r="G323" s="2">
        <v>100</v>
      </c>
      <c r="H323" t="s">
        <v>27</v>
      </c>
      <c r="I323" t="s">
        <v>17</v>
      </c>
      <c r="J323" t="s">
        <v>18</v>
      </c>
      <c r="K323" t="s">
        <v>19</v>
      </c>
    </row>
    <row r="324" spans="1:11">
      <c r="A324" s="1">
        <v>46096</v>
      </c>
      <c r="B324" t="s">
        <v>11</v>
      </c>
      <c r="C324" t="s">
        <v>43</v>
      </c>
      <c r="D324" t="s">
        <v>47</v>
      </c>
      <c r="E324" t="s">
        <v>25</v>
      </c>
      <c r="F324" t="s">
        <v>26</v>
      </c>
      <c r="G324" s="2">
        <v>160</v>
      </c>
      <c r="H324" t="s">
        <v>27</v>
      </c>
      <c r="I324" t="s">
        <v>17</v>
      </c>
      <c r="J324" t="s">
        <v>18</v>
      </c>
      <c r="K324" t="s">
        <v>19</v>
      </c>
    </row>
    <row r="325" spans="1:11">
      <c r="A325" s="1">
        <v>46096</v>
      </c>
      <c r="B325" t="s">
        <v>11</v>
      </c>
      <c r="C325" t="s">
        <v>43</v>
      </c>
      <c r="D325" t="s">
        <v>47</v>
      </c>
      <c r="E325" t="s">
        <v>14</v>
      </c>
      <c r="F325" t="s">
        <v>26</v>
      </c>
      <c r="G325" s="2">
        <v>88</v>
      </c>
      <c r="H325" t="s">
        <v>27</v>
      </c>
      <c r="I325" t="s">
        <v>17</v>
      </c>
      <c r="J325" t="s">
        <v>18</v>
      </c>
      <c r="K325" t="s">
        <v>19</v>
      </c>
    </row>
    <row r="326" spans="1:11">
      <c r="A326" s="1">
        <v>46096</v>
      </c>
      <c r="B326" t="s">
        <v>11</v>
      </c>
      <c r="C326" t="s">
        <v>43</v>
      </c>
      <c r="D326" t="s">
        <v>164</v>
      </c>
      <c r="E326" t="s">
        <v>25</v>
      </c>
      <c r="F326" t="s">
        <v>26</v>
      </c>
      <c r="G326" s="2">
        <v>152</v>
      </c>
      <c r="H326" t="s">
        <v>27</v>
      </c>
      <c r="I326" t="s">
        <v>17</v>
      </c>
      <c r="J326" t="s">
        <v>18</v>
      </c>
      <c r="K326" t="s">
        <v>19</v>
      </c>
    </row>
    <row r="327" spans="1:11">
      <c r="A327" s="1">
        <v>46096</v>
      </c>
      <c r="B327" t="s">
        <v>11</v>
      </c>
      <c r="C327" t="s">
        <v>43</v>
      </c>
      <c r="D327" t="s">
        <v>164</v>
      </c>
      <c r="E327" t="s">
        <v>14</v>
      </c>
      <c r="F327" t="s">
        <v>26</v>
      </c>
      <c r="G327" s="2">
        <v>50</v>
      </c>
      <c r="H327" t="s">
        <v>27</v>
      </c>
      <c r="I327" t="s">
        <v>17</v>
      </c>
      <c r="J327" t="s">
        <v>18</v>
      </c>
      <c r="K327" t="s">
        <v>19</v>
      </c>
    </row>
    <row r="328" spans="1:11">
      <c r="A328" s="1">
        <v>46096</v>
      </c>
      <c r="B328" t="s">
        <v>11</v>
      </c>
      <c r="C328" t="s">
        <v>43</v>
      </c>
      <c r="D328" t="s">
        <v>48</v>
      </c>
      <c r="E328" t="s">
        <v>25</v>
      </c>
      <c r="F328" t="s">
        <v>26</v>
      </c>
      <c r="G328" s="2">
        <v>167</v>
      </c>
      <c r="H328" t="s">
        <v>27</v>
      </c>
      <c r="I328" t="s">
        <v>17</v>
      </c>
      <c r="J328" t="s">
        <v>18</v>
      </c>
      <c r="K328" t="s">
        <v>19</v>
      </c>
    </row>
    <row r="329" spans="1:11">
      <c r="A329" s="1">
        <v>46096</v>
      </c>
      <c r="B329" t="s">
        <v>11</v>
      </c>
      <c r="C329" t="s">
        <v>43</v>
      </c>
      <c r="D329" t="s">
        <v>50</v>
      </c>
      <c r="E329" t="s">
        <v>25</v>
      </c>
      <c r="F329" t="s">
        <v>26</v>
      </c>
      <c r="G329" s="2">
        <v>155</v>
      </c>
      <c r="H329" t="s">
        <v>27</v>
      </c>
      <c r="I329" t="s">
        <v>17</v>
      </c>
      <c r="J329" t="s">
        <v>18</v>
      </c>
      <c r="K329" t="s">
        <v>19</v>
      </c>
    </row>
    <row r="330" spans="1:11">
      <c r="A330" s="1">
        <v>46096</v>
      </c>
      <c r="B330" t="s">
        <v>11</v>
      </c>
      <c r="C330" t="s">
        <v>43</v>
      </c>
      <c r="D330" t="s">
        <v>51</v>
      </c>
      <c r="E330" t="s">
        <v>25</v>
      </c>
      <c r="F330" t="s">
        <v>26</v>
      </c>
      <c r="G330" s="2">
        <v>130</v>
      </c>
      <c r="H330" t="s">
        <v>27</v>
      </c>
      <c r="I330" t="s">
        <v>17</v>
      </c>
      <c r="J330" t="s">
        <v>18</v>
      </c>
      <c r="K330" t="s">
        <v>19</v>
      </c>
    </row>
    <row r="331" spans="1:11">
      <c r="A331" s="1">
        <v>46096</v>
      </c>
      <c r="B331" t="s">
        <v>11</v>
      </c>
      <c r="C331" t="s">
        <v>43</v>
      </c>
      <c r="D331" t="s">
        <v>52</v>
      </c>
      <c r="E331" t="s">
        <v>25</v>
      </c>
      <c r="F331" t="s">
        <v>26</v>
      </c>
      <c r="G331" s="2">
        <v>175</v>
      </c>
      <c r="H331" t="s">
        <v>27</v>
      </c>
      <c r="I331" t="s">
        <v>17</v>
      </c>
      <c r="J331" t="s">
        <v>18</v>
      </c>
      <c r="K331" t="s">
        <v>19</v>
      </c>
    </row>
    <row r="332" spans="1:11">
      <c r="A332" s="1">
        <v>46096</v>
      </c>
      <c r="B332" t="s">
        <v>11</v>
      </c>
      <c r="C332" t="s">
        <v>43</v>
      </c>
      <c r="D332" t="s">
        <v>52</v>
      </c>
      <c r="E332" t="s">
        <v>14</v>
      </c>
      <c r="F332" t="s">
        <v>26</v>
      </c>
      <c r="G332" s="2">
        <v>120</v>
      </c>
      <c r="H332" t="s">
        <v>27</v>
      </c>
      <c r="I332" t="s">
        <v>17</v>
      </c>
      <c r="J332" t="s">
        <v>18</v>
      </c>
      <c r="K332" t="s">
        <v>19</v>
      </c>
    </row>
    <row r="333" spans="1:11">
      <c r="A333" s="1">
        <v>46096</v>
      </c>
      <c r="B333" t="s">
        <v>11</v>
      </c>
      <c r="C333" t="s">
        <v>54</v>
      </c>
      <c r="D333" t="s">
        <v>170</v>
      </c>
      <c r="E333" t="s">
        <v>25</v>
      </c>
      <c r="F333" t="s">
        <v>26</v>
      </c>
      <c r="G333" s="2">
        <v>163</v>
      </c>
      <c r="H333" t="s">
        <v>27</v>
      </c>
      <c r="I333" t="s">
        <v>17</v>
      </c>
      <c r="J333" t="s">
        <v>18</v>
      </c>
      <c r="K333" t="s">
        <v>19</v>
      </c>
    </row>
    <row r="334" spans="1:11">
      <c r="A334" s="1">
        <v>46096</v>
      </c>
      <c r="B334" t="s">
        <v>11</v>
      </c>
      <c r="C334" t="s">
        <v>54</v>
      </c>
      <c r="D334" t="s">
        <v>170</v>
      </c>
      <c r="E334" t="s">
        <v>14</v>
      </c>
      <c r="F334" t="s">
        <v>26</v>
      </c>
      <c r="G334" s="2">
        <v>60</v>
      </c>
      <c r="H334" t="s">
        <v>27</v>
      </c>
      <c r="I334" t="s">
        <v>17</v>
      </c>
      <c r="J334" t="s">
        <v>18</v>
      </c>
      <c r="K334" t="s">
        <v>19</v>
      </c>
    </row>
    <row r="335" spans="1:11">
      <c r="A335" s="1">
        <v>46096</v>
      </c>
      <c r="B335" t="s">
        <v>11</v>
      </c>
      <c r="C335" t="s">
        <v>54</v>
      </c>
      <c r="D335" t="s">
        <v>58</v>
      </c>
      <c r="E335" t="s">
        <v>25</v>
      </c>
      <c r="F335" t="s">
        <v>26</v>
      </c>
      <c r="G335" s="2">
        <v>158</v>
      </c>
      <c r="H335" t="s">
        <v>27</v>
      </c>
      <c r="I335" t="s">
        <v>17</v>
      </c>
      <c r="J335" t="s">
        <v>18</v>
      </c>
      <c r="K335" t="s">
        <v>19</v>
      </c>
    </row>
    <row r="336" spans="1:11">
      <c r="A336" s="1">
        <v>46096</v>
      </c>
      <c r="B336" t="s">
        <v>11</v>
      </c>
      <c r="C336" t="s">
        <v>54</v>
      </c>
      <c r="D336" t="s">
        <v>58</v>
      </c>
      <c r="E336" t="s">
        <v>14</v>
      </c>
      <c r="F336" t="s">
        <v>26</v>
      </c>
      <c r="G336" s="2">
        <v>60</v>
      </c>
      <c r="H336" t="s">
        <v>27</v>
      </c>
      <c r="I336" t="s">
        <v>17</v>
      </c>
      <c r="J336" t="s">
        <v>18</v>
      </c>
      <c r="K336" t="s">
        <v>19</v>
      </c>
    </row>
    <row r="337" spans="1:11">
      <c r="A337" s="1">
        <v>46096</v>
      </c>
      <c r="B337" t="s">
        <v>11</v>
      </c>
      <c r="C337" t="s">
        <v>59</v>
      </c>
      <c r="D337" t="s">
        <v>171</v>
      </c>
      <c r="E337" t="s">
        <v>25</v>
      </c>
      <c r="F337" t="s">
        <v>26</v>
      </c>
      <c r="G337" s="2">
        <v>160</v>
      </c>
      <c r="H337" t="s">
        <v>27</v>
      </c>
      <c r="I337" t="s">
        <v>17</v>
      </c>
      <c r="J337" t="s">
        <v>18</v>
      </c>
      <c r="K337" t="s">
        <v>19</v>
      </c>
    </row>
    <row r="338" spans="1:11">
      <c r="A338" s="1">
        <v>46096</v>
      </c>
      <c r="B338" t="s">
        <v>11</v>
      </c>
      <c r="C338" t="s">
        <v>59</v>
      </c>
      <c r="D338" t="s">
        <v>171</v>
      </c>
      <c r="E338" t="s">
        <v>14</v>
      </c>
      <c r="F338" t="s">
        <v>26</v>
      </c>
      <c r="G338" s="2">
        <v>50</v>
      </c>
      <c r="H338" t="s">
        <v>27</v>
      </c>
      <c r="I338" t="s">
        <v>17</v>
      </c>
      <c r="J338" t="s">
        <v>18</v>
      </c>
      <c r="K338" t="s">
        <v>19</v>
      </c>
    </row>
    <row r="339" spans="1:11">
      <c r="A339" s="1">
        <v>46096</v>
      </c>
      <c r="B339" t="s">
        <v>11</v>
      </c>
      <c r="C339" t="s">
        <v>59</v>
      </c>
      <c r="D339" t="s">
        <v>60</v>
      </c>
      <c r="E339" t="s">
        <v>25</v>
      </c>
      <c r="F339" t="s">
        <v>26</v>
      </c>
      <c r="G339" s="2">
        <v>160</v>
      </c>
      <c r="H339" t="s">
        <v>27</v>
      </c>
      <c r="I339" t="s">
        <v>17</v>
      </c>
      <c r="J339" t="s">
        <v>18</v>
      </c>
      <c r="K339" t="s">
        <v>19</v>
      </c>
    </row>
    <row r="340" spans="1:11">
      <c r="A340" s="1">
        <v>46096</v>
      </c>
      <c r="B340" t="s">
        <v>11</v>
      </c>
      <c r="C340" t="s">
        <v>59</v>
      </c>
      <c r="D340" t="s">
        <v>60</v>
      </c>
      <c r="E340" t="s">
        <v>14</v>
      </c>
      <c r="F340" t="s">
        <v>26</v>
      </c>
      <c r="G340" s="2">
        <v>50</v>
      </c>
      <c r="H340" t="s">
        <v>27</v>
      </c>
      <c r="I340" t="s">
        <v>17</v>
      </c>
      <c r="J340" t="s">
        <v>18</v>
      </c>
      <c r="K340" t="s">
        <v>19</v>
      </c>
    </row>
    <row r="341" spans="1:11">
      <c r="A341" s="1">
        <v>46096</v>
      </c>
      <c r="B341" t="s">
        <v>11</v>
      </c>
      <c r="C341" t="s">
        <v>61</v>
      </c>
      <c r="D341" t="s">
        <v>172</v>
      </c>
      <c r="E341" t="s">
        <v>25</v>
      </c>
      <c r="F341" t="s">
        <v>26</v>
      </c>
      <c r="G341" s="2">
        <v>155</v>
      </c>
      <c r="H341" t="s">
        <v>27</v>
      </c>
      <c r="I341" t="s">
        <v>17</v>
      </c>
      <c r="J341" t="s">
        <v>18</v>
      </c>
      <c r="K341" t="s">
        <v>19</v>
      </c>
    </row>
    <row r="342" spans="1:11">
      <c r="A342" s="1">
        <v>46096</v>
      </c>
      <c r="B342" t="s">
        <v>11</v>
      </c>
      <c r="C342" t="s">
        <v>61</v>
      </c>
      <c r="D342" t="s">
        <v>172</v>
      </c>
      <c r="E342" t="s">
        <v>14</v>
      </c>
      <c r="F342" t="s">
        <v>26</v>
      </c>
      <c r="G342" s="2">
        <v>50</v>
      </c>
      <c r="H342" t="s">
        <v>27</v>
      </c>
      <c r="I342" t="s">
        <v>17</v>
      </c>
      <c r="J342" t="s">
        <v>18</v>
      </c>
      <c r="K342" t="s">
        <v>19</v>
      </c>
    </row>
    <row r="343" spans="1:11">
      <c r="A343" s="1">
        <v>46096</v>
      </c>
      <c r="B343" t="s">
        <v>11</v>
      </c>
      <c r="C343" t="s">
        <v>61</v>
      </c>
      <c r="D343" t="s">
        <v>153</v>
      </c>
      <c r="E343" t="s">
        <v>25</v>
      </c>
      <c r="F343" t="s">
        <v>26</v>
      </c>
      <c r="G343" s="2">
        <v>120</v>
      </c>
      <c r="H343" t="s">
        <v>27</v>
      </c>
      <c r="I343" t="s">
        <v>17</v>
      </c>
      <c r="J343" t="s">
        <v>18</v>
      </c>
      <c r="K343" t="s">
        <v>19</v>
      </c>
    </row>
    <row r="344" spans="1:11">
      <c r="A344" s="1">
        <v>46096</v>
      </c>
      <c r="B344" t="s">
        <v>11</v>
      </c>
      <c r="C344" t="s">
        <v>61</v>
      </c>
      <c r="D344" t="s">
        <v>153</v>
      </c>
      <c r="E344" t="s">
        <v>14</v>
      </c>
      <c r="F344" t="s">
        <v>26</v>
      </c>
      <c r="G344" s="2">
        <v>103</v>
      </c>
      <c r="H344" t="s">
        <v>27</v>
      </c>
      <c r="I344" t="s">
        <v>17</v>
      </c>
      <c r="J344" t="s">
        <v>18</v>
      </c>
      <c r="K344" t="s">
        <v>19</v>
      </c>
    </row>
    <row r="345" spans="1:11">
      <c r="A345" s="1">
        <v>46096</v>
      </c>
      <c r="B345" t="s">
        <v>11</v>
      </c>
      <c r="C345" t="s">
        <v>61</v>
      </c>
      <c r="D345" t="s">
        <v>62</v>
      </c>
      <c r="E345" t="s">
        <v>25</v>
      </c>
      <c r="F345" t="s">
        <v>26</v>
      </c>
      <c r="G345" s="2">
        <v>156</v>
      </c>
      <c r="H345" t="s">
        <v>27</v>
      </c>
      <c r="I345" t="s">
        <v>17</v>
      </c>
      <c r="J345" t="s">
        <v>18</v>
      </c>
      <c r="K345" t="s">
        <v>19</v>
      </c>
    </row>
    <row r="346" spans="1:11">
      <c r="A346" s="1">
        <v>46096</v>
      </c>
      <c r="B346" t="s">
        <v>11</v>
      </c>
      <c r="C346" t="s">
        <v>61</v>
      </c>
      <c r="D346" t="s">
        <v>62</v>
      </c>
      <c r="E346" t="s">
        <v>14</v>
      </c>
      <c r="F346" t="s">
        <v>26</v>
      </c>
      <c r="G346" s="2">
        <v>100</v>
      </c>
      <c r="H346" t="s">
        <v>27</v>
      </c>
      <c r="I346" t="s">
        <v>17</v>
      </c>
      <c r="J346" t="s">
        <v>18</v>
      </c>
      <c r="K346" t="s">
        <v>19</v>
      </c>
    </row>
    <row r="347" spans="1:11">
      <c r="A347" s="1">
        <v>46096</v>
      </c>
      <c r="B347" t="s">
        <v>63</v>
      </c>
      <c r="C347" t="s">
        <v>64</v>
      </c>
      <c r="D347" t="s">
        <v>66</v>
      </c>
      <c r="E347" t="s">
        <v>14</v>
      </c>
      <c r="F347" t="s">
        <v>26</v>
      </c>
      <c r="G347" s="2">
        <v>87</v>
      </c>
      <c r="H347" t="s">
        <v>27</v>
      </c>
      <c r="I347" t="s">
        <v>17</v>
      </c>
      <c r="J347" t="s">
        <v>18</v>
      </c>
      <c r="K347" t="s">
        <v>19</v>
      </c>
    </row>
    <row r="348" spans="1:11">
      <c r="A348" s="1">
        <v>46096</v>
      </c>
      <c r="B348" t="s">
        <v>63</v>
      </c>
      <c r="C348" t="s">
        <v>64</v>
      </c>
      <c r="D348" t="s">
        <v>173</v>
      </c>
      <c r="E348" t="s">
        <v>25</v>
      </c>
      <c r="F348" t="s">
        <v>26</v>
      </c>
      <c r="G348" s="2">
        <v>167</v>
      </c>
      <c r="H348" t="s">
        <v>27</v>
      </c>
      <c r="I348" t="s">
        <v>17</v>
      </c>
      <c r="J348" t="s">
        <v>18</v>
      </c>
      <c r="K348" t="s">
        <v>19</v>
      </c>
    </row>
    <row r="349" spans="1:11">
      <c r="A349" s="1">
        <v>46096</v>
      </c>
      <c r="B349" t="s">
        <v>63</v>
      </c>
      <c r="C349" t="s">
        <v>64</v>
      </c>
      <c r="D349" t="s">
        <v>173</v>
      </c>
      <c r="E349" t="s">
        <v>14</v>
      </c>
      <c r="F349" t="s">
        <v>26</v>
      </c>
      <c r="G349" s="2">
        <v>80</v>
      </c>
      <c r="H349" t="s">
        <v>27</v>
      </c>
      <c r="I349" t="s">
        <v>17</v>
      </c>
      <c r="J349" t="s">
        <v>18</v>
      </c>
      <c r="K349" t="s">
        <v>19</v>
      </c>
    </row>
    <row r="350" spans="1:11">
      <c r="A350" s="1">
        <v>46096</v>
      </c>
      <c r="B350" t="s">
        <v>63</v>
      </c>
      <c r="C350" t="s">
        <v>64</v>
      </c>
      <c r="D350" t="s">
        <v>67</v>
      </c>
      <c r="E350" t="s">
        <v>25</v>
      </c>
      <c r="F350" t="s">
        <v>26</v>
      </c>
      <c r="G350" s="2">
        <v>132</v>
      </c>
      <c r="H350" t="s">
        <v>27</v>
      </c>
      <c r="I350" t="s">
        <v>17</v>
      </c>
      <c r="J350" t="s">
        <v>18</v>
      </c>
      <c r="K350" t="s">
        <v>19</v>
      </c>
    </row>
    <row r="351" spans="1:11">
      <c r="A351" s="1">
        <v>46096</v>
      </c>
      <c r="B351" t="s">
        <v>63</v>
      </c>
      <c r="C351" t="s">
        <v>64</v>
      </c>
      <c r="D351" t="s">
        <v>67</v>
      </c>
      <c r="E351" t="s">
        <v>14</v>
      </c>
      <c r="F351" t="s">
        <v>26</v>
      </c>
      <c r="G351" s="2">
        <v>100</v>
      </c>
      <c r="H351" t="s">
        <v>27</v>
      </c>
      <c r="I351" t="s">
        <v>17</v>
      </c>
      <c r="J351" t="s">
        <v>18</v>
      </c>
      <c r="K351" t="s">
        <v>19</v>
      </c>
    </row>
    <row r="352" spans="1:11">
      <c r="A352" s="1">
        <v>46096</v>
      </c>
      <c r="B352" t="s">
        <v>63</v>
      </c>
      <c r="C352" t="s">
        <v>64</v>
      </c>
      <c r="D352" t="s">
        <v>68</v>
      </c>
      <c r="E352" t="s">
        <v>14</v>
      </c>
      <c r="F352" t="s">
        <v>26</v>
      </c>
      <c r="G352" s="2">
        <v>94</v>
      </c>
      <c r="H352" t="s">
        <v>27</v>
      </c>
      <c r="I352" t="s">
        <v>17</v>
      </c>
      <c r="J352" t="s">
        <v>18</v>
      </c>
      <c r="K352" t="s">
        <v>19</v>
      </c>
    </row>
    <row r="353" spans="1:11">
      <c r="A353" s="1">
        <v>46096</v>
      </c>
      <c r="B353" t="s">
        <v>63</v>
      </c>
      <c r="C353" t="s">
        <v>64</v>
      </c>
      <c r="D353" t="s">
        <v>70</v>
      </c>
      <c r="E353" t="s">
        <v>25</v>
      </c>
      <c r="F353" t="s">
        <v>26</v>
      </c>
      <c r="G353" s="2">
        <v>163</v>
      </c>
      <c r="H353" t="s">
        <v>27</v>
      </c>
      <c r="I353" t="s">
        <v>17</v>
      </c>
      <c r="J353" t="s">
        <v>18</v>
      </c>
      <c r="K353" t="s">
        <v>19</v>
      </c>
    </row>
    <row r="354" spans="1:11">
      <c r="A354" s="1">
        <v>46096</v>
      </c>
      <c r="B354" t="s">
        <v>63</v>
      </c>
      <c r="C354" t="s">
        <v>64</v>
      </c>
      <c r="D354" t="s">
        <v>70</v>
      </c>
      <c r="E354" t="s">
        <v>14</v>
      </c>
      <c r="F354" t="s">
        <v>26</v>
      </c>
      <c r="G354" s="2">
        <v>92</v>
      </c>
      <c r="H354" t="s">
        <v>27</v>
      </c>
      <c r="I354" t="s">
        <v>17</v>
      </c>
      <c r="J354" t="s">
        <v>18</v>
      </c>
      <c r="K354" t="s">
        <v>19</v>
      </c>
    </row>
    <row r="355" spans="1:11">
      <c r="A355" s="1">
        <v>46096</v>
      </c>
      <c r="B355" t="s">
        <v>63</v>
      </c>
      <c r="C355" t="s">
        <v>64</v>
      </c>
      <c r="D355" t="s">
        <v>64</v>
      </c>
      <c r="E355" t="s">
        <v>25</v>
      </c>
      <c r="F355" t="s">
        <v>26</v>
      </c>
      <c r="G355" s="2">
        <v>170</v>
      </c>
      <c r="H355" t="s">
        <v>27</v>
      </c>
      <c r="I355" t="s">
        <v>17</v>
      </c>
      <c r="J355" t="s">
        <v>18</v>
      </c>
      <c r="K355" t="s">
        <v>19</v>
      </c>
    </row>
    <row r="356" spans="1:11">
      <c r="A356" s="1">
        <v>46096</v>
      </c>
      <c r="B356" t="s">
        <v>63</v>
      </c>
      <c r="C356" t="s">
        <v>64</v>
      </c>
      <c r="D356" t="s">
        <v>71</v>
      </c>
      <c r="E356" t="s">
        <v>14</v>
      </c>
      <c r="F356" t="s">
        <v>26</v>
      </c>
      <c r="G356" s="2">
        <v>100</v>
      </c>
      <c r="H356" t="s">
        <v>27</v>
      </c>
      <c r="I356" t="s">
        <v>17</v>
      </c>
      <c r="J356" t="s">
        <v>18</v>
      </c>
      <c r="K356" t="s">
        <v>19</v>
      </c>
    </row>
    <row r="357" spans="1:11">
      <c r="A357" s="1">
        <v>46096</v>
      </c>
      <c r="B357" t="s">
        <v>63</v>
      </c>
      <c r="C357" t="s">
        <v>64</v>
      </c>
      <c r="D357" t="s">
        <v>72</v>
      </c>
      <c r="E357" t="s">
        <v>14</v>
      </c>
      <c r="F357" t="s">
        <v>26</v>
      </c>
      <c r="G357" s="2">
        <v>60</v>
      </c>
      <c r="H357" t="s">
        <v>27</v>
      </c>
      <c r="I357" t="s">
        <v>17</v>
      </c>
      <c r="J357" t="s">
        <v>18</v>
      </c>
      <c r="K357" t="s">
        <v>19</v>
      </c>
    </row>
    <row r="358" spans="1:11">
      <c r="A358" s="1">
        <v>46096</v>
      </c>
      <c r="B358" t="s">
        <v>63</v>
      </c>
      <c r="C358" t="s">
        <v>64</v>
      </c>
      <c r="D358" t="s">
        <v>73</v>
      </c>
      <c r="E358" t="s">
        <v>25</v>
      </c>
      <c r="F358" t="s">
        <v>26</v>
      </c>
      <c r="G358" s="2">
        <v>147</v>
      </c>
      <c r="H358" t="s">
        <v>27</v>
      </c>
      <c r="I358" t="s">
        <v>17</v>
      </c>
      <c r="J358" t="s">
        <v>18</v>
      </c>
      <c r="K358" t="s">
        <v>19</v>
      </c>
    </row>
    <row r="359" spans="1:11">
      <c r="A359" s="1">
        <v>46096</v>
      </c>
      <c r="B359" t="s">
        <v>63</v>
      </c>
      <c r="C359" t="s">
        <v>64</v>
      </c>
      <c r="D359" t="s">
        <v>73</v>
      </c>
      <c r="E359" t="s">
        <v>14</v>
      </c>
      <c r="F359" t="s">
        <v>26</v>
      </c>
      <c r="G359" s="2">
        <v>60</v>
      </c>
      <c r="H359" t="s">
        <v>27</v>
      </c>
      <c r="I359" t="s">
        <v>17</v>
      </c>
      <c r="J359" t="s">
        <v>18</v>
      </c>
      <c r="K359" t="s">
        <v>19</v>
      </c>
    </row>
    <row r="360" spans="1:11">
      <c r="A360" s="1">
        <v>46096</v>
      </c>
      <c r="B360" t="s">
        <v>63</v>
      </c>
      <c r="C360" t="s">
        <v>64</v>
      </c>
      <c r="D360" t="s">
        <v>75</v>
      </c>
      <c r="E360" t="s">
        <v>25</v>
      </c>
      <c r="F360" t="s">
        <v>26</v>
      </c>
      <c r="G360" s="2">
        <v>165</v>
      </c>
      <c r="H360" t="s">
        <v>27</v>
      </c>
      <c r="I360" t="s">
        <v>17</v>
      </c>
      <c r="J360" t="s">
        <v>18</v>
      </c>
      <c r="K360" t="s">
        <v>19</v>
      </c>
    </row>
    <row r="361" spans="1:11">
      <c r="A361" s="1">
        <v>46096</v>
      </c>
      <c r="B361" t="s">
        <v>63</v>
      </c>
      <c r="C361" t="s">
        <v>64</v>
      </c>
      <c r="D361" t="s">
        <v>76</v>
      </c>
      <c r="E361" t="s">
        <v>25</v>
      </c>
      <c r="F361" t="s">
        <v>26</v>
      </c>
      <c r="G361" s="2">
        <v>153</v>
      </c>
      <c r="H361" t="s">
        <v>27</v>
      </c>
      <c r="I361" t="s">
        <v>17</v>
      </c>
      <c r="J361" t="s">
        <v>18</v>
      </c>
      <c r="K361" t="s">
        <v>19</v>
      </c>
    </row>
    <row r="362" spans="1:11">
      <c r="A362" s="1">
        <v>46096</v>
      </c>
      <c r="B362" t="s">
        <v>63</v>
      </c>
      <c r="C362" t="s">
        <v>174</v>
      </c>
      <c r="D362" t="s">
        <v>175</v>
      </c>
      <c r="E362" t="s">
        <v>25</v>
      </c>
      <c r="F362" t="s">
        <v>26</v>
      </c>
      <c r="G362" s="2">
        <v>167</v>
      </c>
      <c r="H362" t="s">
        <v>27</v>
      </c>
      <c r="I362" t="s">
        <v>17</v>
      </c>
      <c r="J362" t="s">
        <v>18</v>
      </c>
      <c r="K362" t="s">
        <v>19</v>
      </c>
    </row>
    <row r="363" spans="1:11">
      <c r="A363" s="1">
        <v>46096</v>
      </c>
      <c r="B363" t="s">
        <v>63</v>
      </c>
      <c r="C363" t="s">
        <v>174</v>
      </c>
      <c r="D363" t="s">
        <v>175</v>
      </c>
      <c r="E363" t="s">
        <v>14</v>
      </c>
      <c r="F363" t="s">
        <v>26</v>
      </c>
      <c r="G363" s="2">
        <v>105</v>
      </c>
      <c r="H363" t="s">
        <v>27</v>
      </c>
      <c r="I363" t="s">
        <v>17</v>
      </c>
      <c r="J363" t="s">
        <v>18</v>
      </c>
      <c r="K363" t="s">
        <v>19</v>
      </c>
    </row>
    <row r="364" spans="1:11">
      <c r="A364" s="1">
        <v>46096</v>
      </c>
      <c r="B364" t="s">
        <v>63</v>
      </c>
      <c r="C364" t="s">
        <v>79</v>
      </c>
      <c r="D364" t="s">
        <v>158</v>
      </c>
      <c r="E364" t="s">
        <v>25</v>
      </c>
      <c r="F364" t="s">
        <v>26</v>
      </c>
      <c r="G364" s="2">
        <v>117</v>
      </c>
      <c r="H364" t="s">
        <v>27</v>
      </c>
      <c r="I364" t="s">
        <v>17</v>
      </c>
      <c r="J364" t="s">
        <v>18</v>
      </c>
      <c r="K364" t="s">
        <v>19</v>
      </c>
    </row>
    <row r="365" spans="1:11">
      <c r="A365" s="1">
        <v>46096</v>
      </c>
      <c r="B365" t="s">
        <v>63</v>
      </c>
      <c r="C365" t="s">
        <v>79</v>
      </c>
      <c r="D365" t="s">
        <v>158</v>
      </c>
      <c r="E365" t="s">
        <v>14</v>
      </c>
      <c r="F365" t="s">
        <v>26</v>
      </c>
      <c r="G365" s="2">
        <v>140</v>
      </c>
      <c r="H365" t="s">
        <v>27</v>
      </c>
      <c r="I365" t="s">
        <v>17</v>
      </c>
      <c r="J365" t="s">
        <v>18</v>
      </c>
      <c r="K365" t="s">
        <v>19</v>
      </c>
    </row>
    <row r="366" spans="1:11">
      <c r="A366" s="1">
        <v>46096</v>
      </c>
      <c r="B366" t="s">
        <v>63</v>
      </c>
      <c r="C366" t="s">
        <v>81</v>
      </c>
      <c r="D366" t="s">
        <v>83</v>
      </c>
      <c r="E366" t="s">
        <v>25</v>
      </c>
      <c r="F366" t="s">
        <v>26</v>
      </c>
      <c r="G366" s="2">
        <v>128</v>
      </c>
      <c r="H366" t="s">
        <v>27</v>
      </c>
      <c r="I366" t="s">
        <v>17</v>
      </c>
      <c r="J366" t="s">
        <v>18</v>
      </c>
      <c r="K366" t="s">
        <v>19</v>
      </c>
    </row>
    <row r="367" spans="1:11">
      <c r="A367" s="1">
        <v>46096</v>
      </c>
      <c r="B367" t="s">
        <v>63</v>
      </c>
      <c r="C367" t="s">
        <v>81</v>
      </c>
      <c r="D367" t="s">
        <v>85</v>
      </c>
      <c r="E367" t="s">
        <v>25</v>
      </c>
      <c r="F367" t="s">
        <v>26</v>
      </c>
      <c r="G367" s="2">
        <v>130</v>
      </c>
      <c r="H367" t="s">
        <v>27</v>
      </c>
      <c r="I367" t="s">
        <v>17</v>
      </c>
      <c r="J367" t="s">
        <v>18</v>
      </c>
      <c r="K367" t="s">
        <v>19</v>
      </c>
    </row>
    <row r="368" spans="1:11">
      <c r="A368" s="1">
        <v>46096</v>
      </c>
      <c r="B368" t="s">
        <v>63</v>
      </c>
      <c r="C368" t="s">
        <v>81</v>
      </c>
      <c r="D368" t="s">
        <v>85</v>
      </c>
      <c r="E368" t="s">
        <v>14</v>
      </c>
      <c r="F368" t="s">
        <v>26</v>
      </c>
      <c r="G368" s="2">
        <v>90</v>
      </c>
      <c r="H368" t="s">
        <v>27</v>
      </c>
      <c r="I368" t="s">
        <v>17</v>
      </c>
      <c r="J368" t="s">
        <v>18</v>
      </c>
      <c r="K368" t="s">
        <v>19</v>
      </c>
    </row>
    <row r="369" spans="1:11">
      <c r="A369" s="1">
        <v>46096</v>
      </c>
      <c r="B369" t="s">
        <v>63</v>
      </c>
      <c r="C369" t="s">
        <v>81</v>
      </c>
      <c r="D369" t="s">
        <v>86</v>
      </c>
      <c r="E369" t="s">
        <v>25</v>
      </c>
      <c r="F369" t="s">
        <v>26</v>
      </c>
      <c r="G369" s="2">
        <v>143</v>
      </c>
      <c r="H369" t="s">
        <v>27</v>
      </c>
      <c r="I369" t="s">
        <v>17</v>
      </c>
      <c r="J369" t="s">
        <v>18</v>
      </c>
      <c r="K369" t="s">
        <v>19</v>
      </c>
    </row>
    <row r="370" spans="1:11">
      <c r="A370" s="1">
        <v>46096</v>
      </c>
      <c r="B370" t="s">
        <v>63</v>
      </c>
      <c r="C370" t="s">
        <v>81</v>
      </c>
      <c r="D370" t="s">
        <v>86</v>
      </c>
      <c r="E370" t="s">
        <v>14</v>
      </c>
      <c r="F370" t="s">
        <v>26</v>
      </c>
      <c r="G370" s="2">
        <v>80</v>
      </c>
      <c r="H370" t="s">
        <v>27</v>
      </c>
      <c r="I370" t="s">
        <v>17</v>
      </c>
      <c r="J370" t="s">
        <v>18</v>
      </c>
      <c r="K370" t="s">
        <v>19</v>
      </c>
    </row>
    <row r="371" spans="1:11">
      <c r="A371" s="1">
        <v>46096</v>
      </c>
      <c r="B371" t="s">
        <v>90</v>
      </c>
      <c r="C371" t="s">
        <v>93</v>
      </c>
      <c r="D371" t="s">
        <v>176</v>
      </c>
      <c r="E371" t="s">
        <v>25</v>
      </c>
      <c r="F371" t="s">
        <v>26</v>
      </c>
      <c r="G371" s="2">
        <v>146</v>
      </c>
      <c r="H371" t="s">
        <v>27</v>
      </c>
      <c r="I371" t="s">
        <v>17</v>
      </c>
      <c r="J371" t="s">
        <v>18</v>
      </c>
      <c r="K371" t="s">
        <v>19</v>
      </c>
    </row>
    <row r="372" spans="1:11">
      <c r="A372" s="1">
        <v>46096</v>
      </c>
      <c r="B372" t="s">
        <v>90</v>
      </c>
      <c r="C372" t="s">
        <v>93</v>
      </c>
      <c r="D372" t="s">
        <v>176</v>
      </c>
      <c r="E372" t="s">
        <v>14</v>
      </c>
      <c r="F372" t="s">
        <v>26</v>
      </c>
      <c r="G372" s="2">
        <v>50</v>
      </c>
      <c r="H372" t="s">
        <v>27</v>
      </c>
      <c r="I372" t="s">
        <v>17</v>
      </c>
      <c r="J372" t="s">
        <v>18</v>
      </c>
      <c r="K372" t="s">
        <v>19</v>
      </c>
    </row>
    <row r="373" spans="1:11">
      <c r="A373" s="1">
        <v>46096</v>
      </c>
      <c r="B373" t="s">
        <v>90</v>
      </c>
      <c r="C373" t="s">
        <v>93</v>
      </c>
      <c r="D373" t="s">
        <v>94</v>
      </c>
      <c r="E373" t="s">
        <v>25</v>
      </c>
      <c r="F373" t="s">
        <v>26</v>
      </c>
      <c r="G373" s="2">
        <v>158</v>
      </c>
      <c r="H373" t="s">
        <v>27</v>
      </c>
      <c r="I373" t="s">
        <v>17</v>
      </c>
      <c r="J373" t="s">
        <v>18</v>
      </c>
      <c r="K373" t="s">
        <v>19</v>
      </c>
    </row>
    <row r="374" spans="1:11">
      <c r="A374" s="1">
        <v>46096</v>
      </c>
      <c r="B374" t="s">
        <v>90</v>
      </c>
      <c r="C374" t="s">
        <v>93</v>
      </c>
      <c r="D374" t="s">
        <v>94</v>
      </c>
      <c r="E374" t="s">
        <v>14</v>
      </c>
      <c r="F374" t="s">
        <v>26</v>
      </c>
      <c r="G374" s="2">
        <v>49</v>
      </c>
      <c r="H374" t="s">
        <v>27</v>
      </c>
      <c r="I374" t="s">
        <v>17</v>
      </c>
      <c r="J374" t="s">
        <v>18</v>
      </c>
      <c r="K374" t="s">
        <v>19</v>
      </c>
    </row>
    <row r="375" spans="1:11">
      <c r="A375" s="1">
        <v>46096</v>
      </c>
      <c r="B375" t="s">
        <v>90</v>
      </c>
      <c r="C375" t="s">
        <v>93</v>
      </c>
      <c r="D375" t="s">
        <v>95</v>
      </c>
      <c r="E375" t="s">
        <v>25</v>
      </c>
      <c r="F375" t="s">
        <v>26</v>
      </c>
      <c r="G375" s="2">
        <v>145</v>
      </c>
      <c r="H375" t="s">
        <v>27</v>
      </c>
      <c r="I375" t="s">
        <v>17</v>
      </c>
      <c r="J375" t="s">
        <v>18</v>
      </c>
      <c r="K375" t="s">
        <v>19</v>
      </c>
    </row>
    <row r="376" spans="1:11">
      <c r="A376" s="1">
        <v>46096</v>
      </c>
      <c r="B376" t="s">
        <v>90</v>
      </c>
      <c r="C376" t="s">
        <v>93</v>
      </c>
      <c r="D376" t="s">
        <v>95</v>
      </c>
      <c r="E376" t="s">
        <v>14</v>
      </c>
      <c r="F376" t="s">
        <v>26</v>
      </c>
      <c r="G376" s="2">
        <v>64</v>
      </c>
      <c r="H376" t="s">
        <v>27</v>
      </c>
      <c r="I376" t="s">
        <v>17</v>
      </c>
      <c r="J376" t="s">
        <v>18</v>
      </c>
      <c r="K376" t="s">
        <v>19</v>
      </c>
    </row>
    <row r="377" spans="1:11">
      <c r="A377" s="1">
        <v>46096</v>
      </c>
      <c r="B377" t="s">
        <v>90</v>
      </c>
      <c r="C377" t="s">
        <v>93</v>
      </c>
      <c r="D377" t="s">
        <v>97</v>
      </c>
      <c r="E377" t="s">
        <v>25</v>
      </c>
      <c r="F377" t="s">
        <v>26</v>
      </c>
      <c r="G377" s="2">
        <v>180</v>
      </c>
      <c r="H377" t="s">
        <v>27</v>
      </c>
      <c r="I377" t="s">
        <v>17</v>
      </c>
      <c r="J377" t="s">
        <v>18</v>
      </c>
      <c r="K377" t="s">
        <v>19</v>
      </c>
    </row>
    <row r="378" spans="1:11">
      <c r="A378" s="1">
        <v>46096</v>
      </c>
      <c r="B378" t="s">
        <v>90</v>
      </c>
      <c r="C378" t="s">
        <v>93</v>
      </c>
      <c r="D378" t="s">
        <v>97</v>
      </c>
      <c r="E378" t="s">
        <v>14</v>
      </c>
      <c r="F378" t="s">
        <v>26</v>
      </c>
      <c r="G378" s="2">
        <v>77</v>
      </c>
      <c r="H378" t="s">
        <v>27</v>
      </c>
      <c r="I378" t="s">
        <v>17</v>
      </c>
      <c r="J378" t="s">
        <v>18</v>
      </c>
      <c r="K378" t="s">
        <v>19</v>
      </c>
    </row>
    <row r="379" spans="1:11">
      <c r="A379" s="1">
        <v>46096</v>
      </c>
      <c r="B379" t="s">
        <v>90</v>
      </c>
      <c r="C379" t="s">
        <v>93</v>
      </c>
      <c r="D379" t="s">
        <v>161</v>
      </c>
      <c r="E379" t="s">
        <v>25</v>
      </c>
      <c r="F379" t="s">
        <v>26</v>
      </c>
      <c r="G379" s="2">
        <v>160</v>
      </c>
      <c r="H379" t="s">
        <v>27</v>
      </c>
      <c r="I379" t="s">
        <v>17</v>
      </c>
      <c r="J379" t="s">
        <v>18</v>
      </c>
      <c r="K379" t="s">
        <v>19</v>
      </c>
    </row>
    <row r="380" spans="1:11">
      <c r="A380" s="1">
        <v>46096</v>
      </c>
      <c r="B380" t="s">
        <v>90</v>
      </c>
      <c r="C380" t="s">
        <v>93</v>
      </c>
      <c r="D380" t="s">
        <v>161</v>
      </c>
      <c r="E380" t="s">
        <v>14</v>
      </c>
      <c r="F380" t="s">
        <v>26</v>
      </c>
      <c r="G380" s="2">
        <v>60</v>
      </c>
      <c r="H380" t="s">
        <v>27</v>
      </c>
      <c r="I380" t="s">
        <v>17</v>
      </c>
      <c r="J380" t="s">
        <v>18</v>
      </c>
      <c r="K380" t="s">
        <v>19</v>
      </c>
    </row>
    <row r="381" spans="1:11">
      <c r="A381" s="1">
        <v>46096</v>
      </c>
      <c r="B381" t="s">
        <v>90</v>
      </c>
      <c r="C381" t="s">
        <v>93</v>
      </c>
      <c r="D381" t="s">
        <v>99</v>
      </c>
      <c r="E381" t="s">
        <v>25</v>
      </c>
      <c r="F381" t="s">
        <v>26</v>
      </c>
      <c r="G381" s="2">
        <v>156</v>
      </c>
      <c r="H381" t="s">
        <v>27</v>
      </c>
      <c r="I381" t="s">
        <v>17</v>
      </c>
      <c r="J381" t="s">
        <v>18</v>
      </c>
      <c r="K381" t="s">
        <v>19</v>
      </c>
    </row>
    <row r="382" spans="1:11">
      <c r="A382" s="1">
        <v>46096</v>
      </c>
      <c r="B382" t="s">
        <v>90</v>
      </c>
      <c r="C382" t="s">
        <v>93</v>
      </c>
      <c r="D382" t="s">
        <v>99</v>
      </c>
      <c r="E382" t="s">
        <v>14</v>
      </c>
      <c r="F382" t="s">
        <v>26</v>
      </c>
      <c r="G382" s="2">
        <v>50</v>
      </c>
      <c r="H382" t="s">
        <v>27</v>
      </c>
      <c r="I382" t="s">
        <v>17</v>
      </c>
      <c r="J382" t="s">
        <v>18</v>
      </c>
      <c r="K382" t="s">
        <v>19</v>
      </c>
    </row>
    <row r="383" spans="1:11">
      <c r="A383" s="1">
        <v>46096</v>
      </c>
      <c r="B383" t="s">
        <v>90</v>
      </c>
      <c r="C383" t="s">
        <v>93</v>
      </c>
      <c r="D383" t="s">
        <v>102</v>
      </c>
      <c r="E383" t="s">
        <v>25</v>
      </c>
      <c r="F383" t="s">
        <v>26</v>
      </c>
      <c r="G383" s="2">
        <v>180</v>
      </c>
      <c r="H383" t="s">
        <v>27</v>
      </c>
      <c r="I383" t="s">
        <v>17</v>
      </c>
      <c r="J383" t="s">
        <v>18</v>
      </c>
      <c r="K383" t="s">
        <v>19</v>
      </c>
    </row>
    <row r="384" spans="1:11">
      <c r="A384" s="1">
        <v>46096</v>
      </c>
      <c r="B384" t="s">
        <v>90</v>
      </c>
      <c r="C384" t="s">
        <v>93</v>
      </c>
      <c r="D384" t="s">
        <v>103</v>
      </c>
      <c r="E384" t="s">
        <v>25</v>
      </c>
      <c r="F384" t="s">
        <v>26</v>
      </c>
      <c r="G384" s="2">
        <v>157</v>
      </c>
      <c r="H384" t="s">
        <v>27</v>
      </c>
      <c r="I384" t="s">
        <v>17</v>
      </c>
      <c r="J384" t="s">
        <v>18</v>
      </c>
      <c r="K384" t="s">
        <v>19</v>
      </c>
    </row>
    <row r="385" spans="1:11">
      <c r="A385" s="1">
        <v>46096</v>
      </c>
      <c r="B385" t="s">
        <v>90</v>
      </c>
      <c r="C385" t="s">
        <v>93</v>
      </c>
      <c r="D385" t="s">
        <v>103</v>
      </c>
      <c r="E385" t="s">
        <v>14</v>
      </c>
      <c r="F385" t="s">
        <v>26</v>
      </c>
      <c r="G385" s="2">
        <v>50</v>
      </c>
      <c r="H385" t="s">
        <v>27</v>
      </c>
      <c r="I385" t="s">
        <v>17</v>
      </c>
      <c r="J385" t="s">
        <v>18</v>
      </c>
      <c r="K385" t="s">
        <v>19</v>
      </c>
    </row>
    <row r="386" spans="1:11">
      <c r="A386" s="1">
        <v>46096</v>
      </c>
      <c r="B386" t="s">
        <v>90</v>
      </c>
      <c r="C386" t="s">
        <v>104</v>
      </c>
      <c r="D386" t="s">
        <v>108</v>
      </c>
      <c r="E386" t="s">
        <v>14</v>
      </c>
      <c r="F386" t="s">
        <v>26</v>
      </c>
      <c r="G386" s="2">
        <v>70</v>
      </c>
      <c r="H386" t="s">
        <v>27</v>
      </c>
      <c r="I386" t="s">
        <v>17</v>
      </c>
      <c r="J386" t="s">
        <v>18</v>
      </c>
      <c r="K386" t="s">
        <v>19</v>
      </c>
    </row>
    <row r="387" spans="1:11">
      <c r="A387" s="1">
        <v>46096</v>
      </c>
      <c r="B387" t="s">
        <v>90</v>
      </c>
      <c r="C387" t="s">
        <v>104</v>
      </c>
      <c r="D387" t="s">
        <v>109</v>
      </c>
      <c r="E387" t="s">
        <v>14</v>
      </c>
      <c r="F387" t="s">
        <v>26</v>
      </c>
      <c r="G387" s="2">
        <v>100</v>
      </c>
      <c r="H387" t="s">
        <v>27</v>
      </c>
      <c r="I387" t="s">
        <v>17</v>
      </c>
      <c r="J387" t="s">
        <v>18</v>
      </c>
      <c r="K387" t="s">
        <v>19</v>
      </c>
    </row>
    <row r="388" spans="1:11">
      <c r="A388" s="1">
        <v>46096</v>
      </c>
      <c r="B388" t="s">
        <v>90</v>
      </c>
      <c r="C388" t="s">
        <v>104</v>
      </c>
      <c r="D388" t="s">
        <v>112</v>
      </c>
      <c r="E388" t="s">
        <v>14</v>
      </c>
      <c r="F388" t="s">
        <v>26</v>
      </c>
      <c r="G388" s="2">
        <v>100</v>
      </c>
      <c r="H388" t="s">
        <v>27</v>
      </c>
      <c r="I388" t="s">
        <v>17</v>
      </c>
      <c r="J388" t="s">
        <v>18</v>
      </c>
      <c r="K388" t="s">
        <v>19</v>
      </c>
    </row>
    <row r="389" spans="1:11">
      <c r="A389" s="1">
        <v>46096</v>
      </c>
      <c r="B389" t="s">
        <v>90</v>
      </c>
      <c r="C389" t="s">
        <v>104</v>
      </c>
      <c r="D389" t="s">
        <v>113</v>
      </c>
      <c r="E389" t="s">
        <v>14</v>
      </c>
      <c r="F389" t="s">
        <v>26</v>
      </c>
      <c r="G389" s="2">
        <v>128</v>
      </c>
      <c r="H389" t="s">
        <v>27</v>
      </c>
      <c r="I389" t="s">
        <v>17</v>
      </c>
      <c r="J389" t="s">
        <v>18</v>
      </c>
      <c r="K389" t="s">
        <v>19</v>
      </c>
    </row>
    <row r="390" spans="1:11">
      <c r="A390" s="1">
        <v>46096</v>
      </c>
      <c r="B390" t="s">
        <v>90</v>
      </c>
      <c r="C390" t="s">
        <v>104</v>
      </c>
      <c r="D390" t="s">
        <v>115</v>
      </c>
      <c r="E390" t="s">
        <v>25</v>
      </c>
      <c r="F390" t="s">
        <v>26</v>
      </c>
      <c r="G390" s="2">
        <v>150</v>
      </c>
      <c r="H390" t="s">
        <v>27</v>
      </c>
      <c r="I390" t="s">
        <v>17</v>
      </c>
      <c r="J390" t="s">
        <v>18</v>
      </c>
      <c r="K390" t="s">
        <v>19</v>
      </c>
    </row>
    <row r="391" spans="1:11">
      <c r="A391" s="1">
        <v>46096</v>
      </c>
      <c r="B391" t="s">
        <v>90</v>
      </c>
      <c r="C391" t="s">
        <v>104</v>
      </c>
      <c r="D391" t="s">
        <v>115</v>
      </c>
      <c r="E391" t="s">
        <v>14</v>
      </c>
      <c r="F391" t="s">
        <v>26</v>
      </c>
      <c r="G391" s="2">
        <v>50</v>
      </c>
      <c r="H391" t="s">
        <v>27</v>
      </c>
      <c r="I391" t="s">
        <v>17</v>
      </c>
      <c r="J391" t="s">
        <v>18</v>
      </c>
      <c r="K391" t="s">
        <v>19</v>
      </c>
    </row>
    <row r="392" spans="1:11">
      <c r="A392" s="1">
        <v>46096</v>
      </c>
      <c r="B392" t="s">
        <v>90</v>
      </c>
      <c r="C392" t="s">
        <v>104</v>
      </c>
      <c r="D392" t="s">
        <v>118</v>
      </c>
      <c r="E392" t="s">
        <v>14</v>
      </c>
      <c r="F392" t="s">
        <v>26</v>
      </c>
      <c r="G392" s="2">
        <v>78</v>
      </c>
      <c r="H392" t="s">
        <v>27</v>
      </c>
      <c r="I392" t="s">
        <v>17</v>
      </c>
      <c r="J392" t="s">
        <v>18</v>
      </c>
      <c r="K392" t="s">
        <v>19</v>
      </c>
    </row>
    <row r="393" spans="1:11">
      <c r="A393" s="1">
        <v>46096</v>
      </c>
      <c r="B393" t="s">
        <v>90</v>
      </c>
      <c r="C393" t="s">
        <v>104</v>
      </c>
      <c r="D393" t="s">
        <v>119</v>
      </c>
      <c r="E393" t="s">
        <v>14</v>
      </c>
      <c r="F393" t="s">
        <v>26</v>
      </c>
      <c r="G393" s="2">
        <v>115</v>
      </c>
      <c r="H393" t="s">
        <v>27</v>
      </c>
      <c r="I393" t="s">
        <v>17</v>
      </c>
      <c r="J393" t="s">
        <v>18</v>
      </c>
      <c r="K393" t="s">
        <v>19</v>
      </c>
    </row>
    <row r="394" spans="1:11">
      <c r="A394" s="1">
        <v>46096</v>
      </c>
      <c r="B394" t="s">
        <v>90</v>
      </c>
      <c r="C394" t="s">
        <v>104</v>
      </c>
      <c r="D394" t="s">
        <v>120</v>
      </c>
      <c r="E394" t="s">
        <v>14</v>
      </c>
      <c r="F394" t="s">
        <v>26</v>
      </c>
      <c r="G394" s="2">
        <v>80</v>
      </c>
      <c r="H394" t="s">
        <v>27</v>
      </c>
      <c r="I394" t="s">
        <v>17</v>
      </c>
      <c r="J394" t="s">
        <v>18</v>
      </c>
      <c r="K394" t="s">
        <v>19</v>
      </c>
    </row>
    <row r="395" spans="1:11">
      <c r="A395" s="1">
        <v>46096</v>
      </c>
      <c r="B395" t="s">
        <v>90</v>
      </c>
      <c r="C395" t="s">
        <v>104</v>
      </c>
      <c r="D395" t="s">
        <v>177</v>
      </c>
      <c r="E395" t="s">
        <v>25</v>
      </c>
      <c r="F395" t="s">
        <v>26</v>
      </c>
      <c r="G395" s="2">
        <v>204</v>
      </c>
      <c r="H395" t="s">
        <v>27</v>
      </c>
      <c r="I395" t="s">
        <v>17</v>
      </c>
      <c r="J395" t="s">
        <v>18</v>
      </c>
      <c r="K395" t="s">
        <v>19</v>
      </c>
    </row>
    <row r="396" spans="1:11">
      <c r="A396" s="1">
        <v>46096</v>
      </c>
      <c r="B396" t="s">
        <v>90</v>
      </c>
      <c r="C396" t="s">
        <v>104</v>
      </c>
      <c r="D396" t="s">
        <v>177</v>
      </c>
      <c r="E396" t="s">
        <v>14</v>
      </c>
      <c r="F396" t="s">
        <v>26</v>
      </c>
      <c r="G396" s="2">
        <v>60</v>
      </c>
      <c r="H396" t="s">
        <v>27</v>
      </c>
      <c r="I396" t="s">
        <v>17</v>
      </c>
      <c r="J396" t="s">
        <v>18</v>
      </c>
      <c r="K396" t="s">
        <v>19</v>
      </c>
    </row>
    <row r="397" spans="1:11">
      <c r="A397" s="1">
        <v>46096</v>
      </c>
      <c r="B397" t="s">
        <v>90</v>
      </c>
      <c r="C397" t="s">
        <v>104</v>
      </c>
      <c r="D397" t="s">
        <v>178</v>
      </c>
      <c r="E397" t="s">
        <v>25</v>
      </c>
      <c r="F397" t="s">
        <v>26</v>
      </c>
      <c r="G397" s="2">
        <v>181</v>
      </c>
      <c r="H397" t="s">
        <v>27</v>
      </c>
      <c r="I397" t="s">
        <v>17</v>
      </c>
      <c r="J397" t="s">
        <v>18</v>
      </c>
      <c r="K397" t="s">
        <v>19</v>
      </c>
    </row>
    <row r="398" spans="1:11">
      <c r="A398" s="1">
        <v>46096</v>
      </c>
      <c r="B398" t="s">
        <v>90</v>
      </c>
      <c r="C398" t="s">
        <v>104</v>
      </c>
      <c r="D398" t="s">
        <v>178</v>
      </c>
      <c r="E398" t="s">
        <v>14</v>
      </c>
      <c r="F398" t="s">
        <v>26</v>
      </c>
      <c r="G398" s="2">
        <v>120</v>
      </c>
      <c r="H398" t="s">
        <v>27</v>
      </c>
      <c r="I398" t="s">
        <v>17</v>
      </c>
      <c r="J398" t="s">
        <v>18</v>
      </c>
      <c r="K398" t="s">
        <v>19</v>
      </c>
    </row>
    <row r="399" spans="1:11">
      <c r="A399" s="1">
        <v>46096</v>
      </c>
      <c r="B399" t="s">
        <v>90</v>
      </c>
      <c r="C399" t="s">
        <v>104</v>
      </c>
      <c r="D399" t="s">
        <v>128</v>
      </c>
      <c r="E399" t="s">
        <v>25</v>
      </c>
      <c r="F399" t="s">
        <v>26</v>
      </c>
      <c r="G399" s="2">
        <v>150</v>
      </c>
      <c r="H399" t="s">
        <v>27</v>
      </c>
      <c r="I399" t="s">
        <v>17</v>
      </c>
      <c r="J399" t="s">
        <v>18</v>
      </c>
      <c r="K399" t="s">
        <v>19</v>
      </c>
    </row>
    <row r="400" spans="1:11">
      <c r="A400" s="1">
        <v>46096</v>
      </c>
      <c r="B400" t="s">
        <v>90</v>
      </c>
      <c r="C400" t="s">
        <v>104</v>
      </c>
      <c r="D400" t="s">
        <v>128</v>
      </c>
      <c r="E400" t="s">
        <v>14</v>
      </c>
      <c r="F400" t="s">
        <v>26</v>
      </c>
      <c r="G400" s="2">
        <v>80</v>
      </c>
      <c r="H400" t="s">
        <v>27</v>
      </c>
      <c r="I400" t="s">
        <v>17</v>
      </c>
      <c r="J400" t="s">
        <v>18</v>
      </c>
      <c r="K400" t="s">
        <v>19</v>
      </c>
    </row>
    <row r="401" spans="1:11">
      <c r="A401" s="1">
        <v>46127</v>
      </c>
      <c r="B401" t="s">
        <v>11</v>
      </c>
      <c r="C401" t="s">
        <v>12</v>
      </c>
      <c r="D401" t="s">
        <v>13</v>
      </c>
      <c r="E401" t="s">
        <v>14</v>
      </c>
      <c r="F401" t="s">
        <v>15</v>
      </c>
      <c r="G401" s="2">
        <v>1666.67</v>
      </c>
      <c r="H401" t="s">
        <v>16</v>
      </c>
      <c r="I401" t="s">
        <v>17</v>
      </c>
      <c r="J401" t="s">
        <v>18</v>
      </c>
      <c r="K401" t="s">
        <v>19</v>
      </c>
    </row>
    <row r="402" spans="1:11">
      <c r="A402" s="1">
        <v>46157</v>
      </c>
      <c r="B402" t="s">
        <v>11</v>
      </c>
      <c r="C402" t="s">
        <v>12</v>
      </c>
      <c r="D402" t="s">
        <v>13</v>
      </c>
      <c r="E402" t="s">
        <v>14</v>
      </c>
      <c r="F402" t="s">
        <v>15</v>
      </c>
      <c r="G402" s="2">
        <v>1750</v>
      </c>
      <c r="H402" t="s">
        <v>16</v>
      </c>
      <c r="I402" t="s">
        <v>17</v>
      </c>
      <c r="J402" t="s">
        <v>18</v>
      </c>
      <c r="K402" t="s">
        <v>19</v>
      </c>
    </row>
    <row r="403" spans="1:11">
      <c r="A403" s="1">
        <v>46157</v>
      </c>
      <c r="B403" t="s">
        <v>87</v>
      </c>
      <c r="C403" t="s">
        <v>88</v>
      </c>
      <c r="D403" t="s">
        <v>89</v>
      </c>
      <c r="E403" t="s">
        <v>14</v>
      </c>
      <c r="F403" t="s">
        <v>15</v>
      </c>
      <c r="G403" s="2">
        <v>2222</v>
      </c>
      <c r="H403" t="s">
        <v>16</v>
      </c>
      <c r="I403" t="s">
        <v>17</v>
      </c>
      <c r="J403" t="s">
        <v>18</v>
      </c>
      <c r="K403" t="s">
        <v>19</v>
      </c>
    </row>
    <row r="404" spans="1:11">
      <c r="A404" s="1">
        <v>46188</v>
      </c>
      <c r="B404" t="s">
        <v>87</v>
      </c>
      <c r="C404" t="s">
        <v>88</v>
      </c>
      <c r="D404" t="s">
        <v>89</v>
      </c>
      <c r="E404" t="s">
        <v>14</v>
      </c>
      <c r="F404" t="s">
        <v>15</v>
      </c>
      <c r="G404" s="2">
        <v>2778</v>
      </c>
      <c r="H404" t="s">
        <v>16</v>
      </c>
      <c r="I404" t="s">
        <v>17</v>
      </c>
      <c r="J404" t="s">
        <v>18</v>
      </c>
      <c r="K404" t="s">
        <v>19</v>
      </c>
    </row>
    <row r="405" spans="1:11">
      <c r="A405" s="1">
        <v>46218</v>
      </c>
      <c r="B405" t="s">
        <v>87</v>
      </c>
      <c r="C405" t="s">
        <v>88</v>
      </c>
      <c r="D405" t="s">
        <v>89</v>
      </c>
      <c r="E405" t="s">
        <v>14</v>
      </c>
      <c r="F405" t="s">
        <v>15</v>
      </c>
      <c r="G405" s="2">
        <v>4759.33</v>
      </c>
      <c r="H405" t="s">
        <v>16</v>
      </c>
      <c r="I405" t="s">
        <v>17</v>
      </c>
      <c r="J405" t="s">
        <v>18</v>
      </c>
      <c r="K405" t="s">
        <v>19</v>
      </c>
    </row>
    <row r="406" spans="1:11">
      <c r="A406" s="1">
        <v>45641</v>
      </c>
      <c r="B406" t="s">
        <v>63</v>
      </c>
      <c r="C406" t="s">
        <v>64</v>
      </c>
      <c r="D406" t="s">
        <v>68</v>
      </c>
      <c r="E406" t="s">
        <v>25</v>
      </c>
      <c r="F406" t="s">
        <v>26</v>
      </c>
      <c r="G406" s="2">
        <v>120.22</v>
      </c>
      <c r="H406" t="s">
        <v>27</v>
      </c>
      <c r="I406" t="s">
        <v>179</v>
      </c>
      <c r="J406" t="s">
        <v>18</v>
      </c>
      <c r="K406" t="s">
        <v>19</v>
      </c>
    </row>
    <row r="407" spans="1:11">
      <c r="A407" s="1">
        <v>45641</v>
      </c>
      <c r="B407" t="s">
        <v>63</v>
      </c>
      <c r="C407" t="s">
        <v>64</v>
      </c>
      <c r="D407" t="s">
        <v>71</v>
      </c>
      <c r="E407" t="s">
        <v>25</v>
      </c>
      <c r="F407" t="s">
        <v>26</v>
      </c>
      <c r="G407" s="2">
        <v>121.28</v>
      </c>
      <c r="H407" t="s">
        <v>27</v>
      </c>
      <c r="I407" t="s">
        <v>179</v>
      </c>
      <c r="J407" t="s">
        <v>18</v>
      </c>
      <c r="K407" t="s">
        <v>19</v>
      </c>
    </row>
    <row r="408" spans="1:11">
      <c r="A408" s="1">
        <v>45641</v>
      </c>
      <c r="B408" t="s">
        <v>63</v>
      </c>
      <c r="C408" t="s">
        <v>64</v>
      </c>
      <c r="D408" t="s">
        <v>72</v>
      </c>
      <c r="E408" t="s">
        <v>25</v>
      </c>
      <c r="F408" t="s">
        <v>26</v>
      </c>
      <c r="G408" s="2">
        <v>120.93</v>
      </c>
      <c r="H408" t="s">
        <v>27</v>
      </c>
      <c r="I408" t="s">
        <v>179</v>
      </c>
      <c r="J408" t="s">
        <v>18</v>
      </c>
      <c r="K408" t="s">
        <v>19</v>
      </c>
    </row>
    <row r="409" spans="1:11">
      <c r="A409" s="1">
        <v>45641</v>
      </c>
      <c r="B409" t="s">
        <v>90</v>
      </c>
      <c r="C409" t="s">
        <v>104</v>
      </c>
      <c r="D409" t="s">
        <v>108</v>
      </c>
      <c r="E409" t="s">
        <v>25</v>
      </c>
      <c r="F409" t="s">
        <v>26</v>
      </c>
      <c r="G409" s="2">
        <v>156</v>
      </c>
      <c r="H409" t="s">
        <v>27</v>
      </c>
      <c r="I409" t="s">
        <v>179</v>
      </c>
      <c r="J409" t="s">
        <v>18</v>
      </c>
      <c r="K409" t="s">
        <v>19</v>
      </c>
    </row>
    <row r="410" spans="1:11">
      <c r="A410" s="1">
        <v>45641</v>
      </c>
      <c r="B410" t="s">
        <v>90</v>
      </c>
      <c r="C410" t="s">
        <v>104</v>
      </c>
      <c r="D410" t="s">
        <v>109</v>
      </c>
      <c r="E410" t="s">
        <v>25</v>
      </c>
      <c r="F410" t="s">
        <v>26</v>
      </c>
      <c r="G410" s="2">
        <v>150.31</v>
      </c>
      <c r="H410" t="s">
        <v>27</v>
      </c>
      <c r="I410" t="s">
        <v>179</v>
      </c>
      <c r="J410" t="s">
        <v>18</v>
      </c>
      <c r="K410" t="s">
        <v>19</v>
      </c>
    </row>
    <row r="411" spans="1:11">
      <c r="A411" s="1">
        <v>45641</v>
      </c>
      <c r="B411" t="s">
        <v>90</v>
      </c>
      <c r="C411" t="s">
        <v>104</v>
      </c>
      <c r="D411" t="s">
        <v>112</v>
      </c>
      <c r="E411" t="s">
        <v>25</v>
      </c>
      <c r="F411" t="s">
        <v>26</v>
      </c>
      <c r="G411" s="2">
        <v>149</v>
      </c>
      <c r="H411" t="s">
        <v>27</v>
      </c>
      <c r="I411" t="s">
        <v>179</v>
      </c>
      <c r="J411" t="s">
        <v>18</v>
      </c>
      <c r="K411" t="s">
        <v>19</v>
      </c>
    </row>
    <row r="412" spans="1:11">
      <c r="A412" s="1">
        <v>45641</v>
      </c>
      <c r="B412" t="s">
        <v>90</v>
      </c>
      <c r="C412" t="s">
        <v>104</v>
      </c>
      <c r="D412" t="s">
        <v>113</v>
      </c>
      <c r="E412" t="s">
        <v>25</v>
      </c>
      <c r="F412" t="s">
        <v>26</v>
      </c>
      <c r="G412" s="2">
        <v>149.83</v>
      </c>
      <c r="H412" t="s">
        <v>27</v>
      </c>
      <c r="I412" t="s">
        <v>179</v>
      </c>
      <c r="J412" t="s">
        <v>18</v>
      </c>
      <c r="K412" t="s">
        <v>19</v>
      </c>
    </row>
    <row r="413" spans="1:11">
      <c r="A413" s="1">
        <v>45641</v>
      </c>
      <c r="B413" t="s">
        <v>90</v>
      </c>
      <c r="C413" t="s">
        <v>104</v>
      </c>
      <c r="D413" t="s">
        <v>114</v>
      </c>
      <c r="E413" t="s">
        <v>25</v>
      </c>
      <c r="F413" t="s">
        <v>26</v>
      </c>
      <c r="G413" s="2">
        <v>158.33</v>
      </c>
      <c r="H413" t="s">
        <v>27</v>
      </c>
      <c r="I413" t="s">
        <v>179</v>
      </c>
      <c r="J413" t="s">
        <v>18</v>
      </c>
      <c r="K413" t="s">
        <v>19</v>
      </c>
    </row>
    <row r="414" spans="1:11">
      <c r="A414" s="1">
        <v>45641</v>
      </c>
      <c r="B414" t="s">
        <v>90</v>
      </c>
      <c r="C414" t="s">
        <v>104</v>
      </c>
      <c r="D414" t="s">
        <v>118</v>
      </c>
      <c r="E414" t="s">
        <v>25</v>
      </c>
      <c r="F414" t="s">
        <v>26</v>
      </c>
      <c r="G414" s="2">
        <v>149.75</v>
      </c>
      <c r="H414" t="s">
        <v>27</v>
      </c>
      <c r="I414" t="s">
        <v>179</v>
      </c>
      <c r="J414" t="s">
        <v>18</v>
      </c>
      <c r="K414" t="s">
        <v>19</v>
      </c>
    </row>
    <row r="415" spans="1:11">
      <c r="A415" s="1">
        <v>45641</v>
      </c>
      <c r="B415" t="s">
        <v>90</v>
      </c>
      <c r="C415" t="s">
        <v>104</v>
      </c>
      <c r="D415" t="s">
        <v>119</v>
      </c>
      <c r="E415" t="s">
        <v>25</v>
      </c>
      <c r="F415" t="s">
        <v>26</v>
      </c>
      <c r="G415" s="2">
        <v>149.17</v>
      </c>
      <c r="H415" t="s">
        <v>27</v>
      </c>
      <c r="I415" t="s">
        <v>179</v>
      </c>
      <c r="J415" t="s">
        <v>18</v>
      </c>
      <c r="K415" t="s">
        <v>19</v>
      </c>
    </row>
    <row r="416" spans="1:11">
      <c r="A416" s="1">
        <v>45641</v>
      </c>
      <c r="B416" t="s">
        <v>90</v>
      </c>
      <c r="C416" t="s">
        <v>104</v>
      </c>
      <c r="D416" t="s">
        <v>120</v>
      </c>
      <c r="E416" t="s">
        <v>25</v>
      </c>
      <c r="F416" t="s">
        <v>26</v>
      </c>
      <c r="G416" s="2">
        <v>141.83</v>
      </c>
      <c r="H416" t="s">
        <v>27</v>
      </c>
      <c r="I416" t="s">
        <v>179</v>
      </c>
      <c r="J416" t="s">
        <v>18</v>
      </c>
      <c r="K416" t="s">
        <v>19</v>
      </c>
    </row>
    <row r="417" spans="1:11">
      <c r="A417" s="1">
        <v>45731</v>
      </c>
      <c r="B417" t="s">
        <v>63</v>
      </c>
      <c r="C417" t="s">
        <v>64</v>
      </c>
      <c r="D417" t="s">
        <v>68</v>
      </c>
      <c r="E417" t="s">
        <v>25</v>
      </c>
      <c r="F417" t="s">
        <v>26</v>
      </c>
      <c r="G417" s="2">
        <v>128.56</v>
      </c>
      <c r="H417" t="s">
        <v>27</v>
      </c>
      <c r="I417" t="s">
        <v>179</v>
      </c>
      <c r="J417" t="s">
        <v>18</v>
      </c>
      <c r="K417" t="s">
        <v>19</v>
      </c>
    </row>
    <row r="418" spans="1:11">
      <c r="A418" s="1">
        <v>45731</v>
      </c>
      <c r="B418" t="s">
        <v>63</v>
      </c>
      <c r="C418" t="s">
        <v>64</v>
      </c>
      <c r="D418" t="s">
        <v>71</v>
      </c>
      <c r="E418" t="s">
        <v>25</v>
      </c>
      <c r="F418" t="s">
        <v>26</v>
      </c>
      <c r="G418" s="2">
        <v>129.68</v>
      </c>
      <c r="H418" t="s">
        <v>27</v>
      </c>
      <c r="I418" t="s">
        <v>179</v>
      </c>
      <c r="J418" t="s">
        <v>18</v>
      </c>
      <c r="K418" t="s">
        <v>19</v>
      </c>
    </row>
    <row r="419" spans="1:11">
      <c r="A419" s="1">
        <v>45731</v>
      </c>
      <c r="B419" t="s">
        <v>63</v>
      </c>
      <c r="C419" t="s">
        <v>64</v>
      </c>
      <c r="D419" t="s">
        <v>72</v>
      </c>
      <c r="E419" t="s">
        <v>25</v>
      </c>
      <c r="F419" t="s">
        <v>26</v>
      </c>
      <c r="G419" s="2">
        <v>121.53</v>
      </c>
      <c r="H419" t="s">
        <v>27</v>
      </c>
      <c r="I419" t="s">
        <v>179</v>
      </c>
      <c r="J419" t="s">
        <v>18</v>
      </c>
      <c r="K419" t="s">
        <v>19</v>
      </c>
    </row>
    <row r="420" spans="1:11">
      <c r="A420" s="1">
        <v>45731</v>
      </c>
      <c r="B420" t="s">
        <v>90</v>
      </c>
      <c r="C420" t="s">
        <v>104</v>
      </c>
      <c r="D420" t="s">
        <v>109</v>
      </c>
      <c r="E420" t="s">
        <v>25</v>
      </c>
      <c r="F420" t="s">
        <v>26</v>
      </c>
      <c r="G420" s="2">
        <v>169.83</v>
      </c>
      <c r="H420" t="s">
        <v>27</v>
      </c>
      <c r="I420" t="s">
        <v>179</v>
      </c>
      <c r="J420" t="s">
        <v>18</v>
      </c>
      <c r="K420" t="s">
        <v>19</v>
      </c>
    </row>
    <row r="421" spans="1:11">
      <c r="A421" s="1">
        <v>45731</v>
      </c>
      <c r="B421" t="s">
        <v>90</v>
      </c>
      <c r="C421" t="s">
        <v>104</v>
      </c>
      <c r="D421" t="s">
        <v>112</v>
      </c>
      <c r="E421" t="s">
        <v>25</v>
      </c>
      <c r="F421" t="s">
        <v>26</v>
      </c>
      <c r="G421" s="2">
        <v>161.83</v>
      </c>
      <c r="H421" t="s">
        <v>27</v>
      </c>
      <c r="I421" t="s">
        <v>179</v>
      </c>
      <c r="J421" t="s">
        <v>18</v>
      </c>
      <c r="K421" t="s">
        <v>19</v>
      </c>
    </row>
    <row r="422" spans="1:11">
      <c r="A422" s="1">
        <v>45731</v>
      </c>
      <c r="B422" t="s">
        <v>90</v>
      </c>
      <c r="C422" t="s">
        <v>104</v>
      </c>
      <c r="D422" t="s">
        <v>113</v>
      </c>
      <c r="E422" t="s">
        <v>25</v>
      </c>
      <c r="F422" t="s">
        <v>26</v>
      </c>
      <c r="G422" s="2">
        <v>163.17</v>
      </c>
      <c r="H422" t="s">
        <v>27</v>
      </c>
      <c r="I422" t="s">
        <v>179</v>
      </c>
      <c r="J422" t="s">
        <v>18</v>
      </c>
      <c r="K422" t="s">
        <v>19</v>
      </c>
    </row>
    <row r="423" spans="1:11">
      <c r="A423" s="1">
        <v>45731</v>
      </c>
      <c r="B423" t="s">
        <v>90</v>
      </c>
      <c r="C423" t="s">
        <v>104</v>
      </c>
      <c r="D423" t="s">
        <v>114</v>
      </c>
      <c r="E423" t="s">
        <v>25</v>
      </c>
      <c r="F423" t="s">
        <v>26</v>
      </c>
      <c r="G423" s="2">
        <v>162.75</v>
      </c>
      <c r="H423" t="s">
        <v>27</v>
      </c>
      <c r="I423" t="s">
        <v>179</v>
      </c>
      <c r="J423" t="s">
        <v>18</v>
      </c>
      <c r="K423" t="s">
        <v>19</v>
      </c>
    </row>
    <row r="424" spans="1:11">
      <c r="A424" s="1">
        <v>45731</v>
      </c>
      <c r="B424" t="s">
        <v>90</v>
      </c>
      <c r="C424" t="s">
        <v>104</v>
      </c>
      <c r="D424" t="s">
        <v>118</v>
      </c>
      <c r="E424" t="s">
        <v>25</v>
      </c>
      <c r="F424" t="s">
        <v>26</v>
      </c>
      <c r="G424" s="2">
        <v>158.33</v>
      </c>
      <c r="H424" t="s">
        <v>27</v>
      </c>
      <c r="I424" t="s">
        <v>179</v>
      </c>
      <c r="J424" t="s">
        <v>18</v>
      </c>
      <c r="K424" t="s">
        <v>19</v>
      </c>
    </row>
    <row r="425" spans="1:11">
      <c r="A425" s="1">
        <v>45731</v>
      </c>
      <c r="B425" t="s">
        <v>90</v>
      </c>
      <c r="C425" t="s">
        <v>104</v>
      </c>
      <c r="D425" t="s">
        <v>119</v>
      </c>
      <c r="E425" t="s">
        <v>25</v>
      </c>
      <c r="F425" t="s">
        <v>26</v>
      </c>
      <c r="G425" s="2">
        <v>151.5</v>
      </c>
      <c r="H425" t="s">
        <v>27</v>
      </c>
      <c r="I425" t="s">
        <v>179</v>
      </c>
      <c r="J425" t="s">
        <v>18</v>
      </c>
      <c r="K425" t="s">
        <v>19</v>
      </c>
    </row>
    <row r="426" spans="1:11">
      <c r="A426" s="1">
        <v>45731</v>
      </c>
      <c r="B426" t="s">
        <v>90</v>
      </c>
      <c r="C426" t="s">
        <v>104</v>
      </c>
      <c r="D426" t="s">
        <v>120</v>
      </c>
      <c r="E426" t="s">
        <v>25</v>
      </c>
      <c r="F426" t="s">
        <v>26</v>
      </c>
      <c r="G426" s="2">
        <v>154</v>
      </c>
      <c r="H426" t="s">
        <v>27</v>
      </c>
      <c r="I426" t="s">
        <v>179</v>
      </c>
      <c r="J426" t="s">
        <v>18</v>
      </c>
      <c r="K426" t="s">
        <v>19</v>
      </c>
    </row>
    <row r="427" spans="1:11">
      <c r="A427" s="1">
        <v>45731</v>
      </c>
      <c r="B427" t="s">
        <v>90</v>
      </c>
      <c r="C427" t="s">
        <v>104</v>
      </c>
      <c r="D427" t="s">
        <v>157</v>
      </c>
      <c r="E427" t="s">
        <v>25</v>
      </c>
      <c r="F427" t="s">
        <v>26</v>
      </c>
      <c r="G427" s="2">
        <v>176.67</v>
      </c>
      <c r="H427" t="s">
        <v>27</v>
      </c>
      <c r="I427" t="s">
        <v>179</v>
      </c>
      <c r="J427" t="s">
        <v>18</v>
      </c>
      <c r="K427" t="s">
        <v>19</v>
      </c>
    </row>
    <row r="428" spans="1:11">
      <c r="A428" s="1">
        <v>45823</v>
      </c>
      <c r="B428" t="s">
        <v>63</v>
      </c>
      <c r="C428" t="s">
        <v>64</v>
      </c>
      <c r="D428" t="s">
        <v>68</v>
      </c>
      <c r="E428" t="s">
        <v>25</v>
      </c>
      <c r="F428" t="s">
        <v>26</v>
      </c>
      <c r="G428" s="2">
        <v>125.72</v>
      </c>
      <c r="H428" t="s">
        <v>27</v>
      </c>
      <c r="I428" t="s">
        <v>179</v>
      </c>
      <c r="J428" t="s">
        <v>18</v>
      </c>
      <c r="K428" t="s">
        <v>19</v>
      </c>
    </row>
    <row r="429" spans="1:11">
      <c r="A429" s="1">
        <v>45823</v>
      </c>
      <c r="B429" t="s">
        <v>63</v>
      </c>
      <c r="C429" t="s">
        <v>64</v>
      </c>
      <c r="D429" t="s">
        <v>71</v>
      </c>
      <c r="E429" t="s">
        <v>25</v>
      </c>
      <c r="F429" t="s">
        <v>26</v>
      </c>
      <c r="G429" s="2">
        <v>136.96</v>
      </c>
      <c r="H429" t="s">
        <v>27</v>
      </c>
      <c r="I429" t="s">
        <v>179</v>
      </c>
      <c r="J429" t="s">
        <v>18</v>
      </c>
      <c r="K429" t="s">
        <v>19</v>
      </c>
    </row>
    <row r="430" spans="1:11">
      <c r="A430" s="1">
        <v>45823</v>
      </c>
      <c r="B430" t="s">
        <v>63</v>
      </c>
      <c r="C430" t="s">
        <v>64</v>
      </c>
      <c r="D430" t="s">
        <v>72</v>
      </c>
      <c r="E430" t="s">
        <v>25</v>
      </c>
      <c r="F430" t="s">
        <v>26</v>
      </c>
      <c r="G430" s="2">
        <v>133.15</v>
      </c>
      <c r="H430" t="s">
        <v>27</v>
      </c>
      <c r="I430" t="s">
        <v>179</v>
      </c>
      <c r="J430" t="s">
        <v>18</v>
      </c>
      <c r="K430" t="s">
        <v>19</v>
      </c>
    </row>
    <row r="431" spans="1:11">
      <c r="A431" s="1">
        <v>45823</v>
      </c>
      <c r="B431" t="s">
        <v>90</v>
      </c>
      <c r="C431" t="s">
        <v>104</v>
      </c>
      <c r="D431" t="s">
        <v>109</v>
      </c>
      <c r="E431" t="s">
        <v>25</v>
      </c>
      <c r="F431" t="s">
        <v>26</v>
      </c>
      <c r="G431" s="2">
        <v>186</v>
      </c>
      <c r="H431" t="s">
        <v>27</v>
      </c>
      <c r="I431" t="s">
        <v>179</v>
      </c>
      <c r="J431" t="s">
        <v>18</v>
      </c>
      <c r="K431" t="s">
        <v>19</v>
      </c>
    </row>
    <row r="432" spans="1:11">
      <c r="A432" s="1">
        <v>45823</v>
      </c>
      <c r="B432" t="s">
        <v>90</v>
      </c>
      <c r="C432" t="s">
        <v>104</v>
      </c>
      <c r="D432" t="s">
        <v>112</v>
      </c>
      <c r="E432" t="s">
        <v>25</v>
      </c>
      <c r="F432" t="s">
        <v>26</v>
      </c>
      <c r="G432" s="2">
        <v>175</v>
      </c>
      <c r="H432" t="s">
        <v>27</v>
      </c>
      <c r="I432" t="s">
        <v>179</v>
      </c>
      <c r="J432" t="s">
        <v>18</v>
      </c>
      <c r="K432" t="s">
        <v>19</v>
      </c>
    </row>
    <row r="433" spans="1:11">
      <c r="A433" s="1">
        <v>45823</v>
      </c>
      <c r="B433" t="s">
        <v>90</v>
      </c>
      <c r="C433" t="s">
        <v>104</v>
      </c>
      <c r="D433" t="s">
        <v>113</v>
      </c>
      <c r="E433" t="s">
        <v>25</v>
      </c>
      <c r="F433" t="s">
        <v>26</v>
      </c>
      <c r="G433" s="2">
        <v>173.5</v>
      </c>
      <c r="H433" t="s">
        <v>27</v>
      </c>
      <c r="I433" t="s">
        <v>179</v>
      </c>
      <c r="J433" t="s">
        <v>18</v>
      </c>
      <c r="K433" t="s">
        <v>19</v>
      </c>
    </row>
    <row r="434" spans="1:11">
      <c r="A434" s="1">
        <v>45823</v>
      </c>
      <c r="B434" t="s">
        <v>90</v>
      </c>
      <c r="C434" t="s">
        <v>104</v>
      </c>
      <c r="D434" t="s">
        <v>114</v>
      </c>
      <c r="E434" t="s">
        <v>25</v>
      </c>
      <c r="F434" t="s">
        <v>26</v>
      </c>
      <c r="G434" s="2">
        <v>178.33</v>
      </c>
      <c r="H434" t="s">
        <v>27</v>
      </c>
      <c r="I434" t="s">
        <v>179</v>
      </c>
      <c r="J434" t="s">
        <v>18</v>
      </c>
      <c r="K434" t="s">
        <v>19</v>
      </c>
    </row>
    <row r="435" spans="1:11">
      <c r="A435" s="1">
        <v>45823</v>
      </c>
      <c r="B435" t="s">
        <v>90</v>
      </c>
      <c r="C435" t="s">
        <v>104</v>
      </c>
      <c r="D435" t="s">
        <v>118</v>
      </c>
      <c r="E435" t="s">
        <v>25</v>
      </c>
      <c r="F435" t="s">
        <v>26</v>
      </c>
      <c r="G435" s="2">
        <v>171.67</v>
      </c>
      <c r="H435" t="s">
        <v>27</v>
      </c>
      <c r="I435" t="s">
        <v>179</v>
      </c>
      <c r="J435" t="s">
        <v>18</v>
      </c>
      <c r="K435" t="s">
        <v>19</v>
      </c>
    </row>
    <row r="436" spans="1:11">
      <c r="A436" s="1">
        <v>45823</v>
      </c>
      <c r="B436" t="s">
        <v>90</v>
      </c>
      <c r="C436" t="s">
        <v>104</v>
      </c>
      <c r="D436" t="s">
        <v>119</v>
      </c>
      <c r="E436" t="s">
        <v>25</v>
      </c>
      <c r="F436" t="s">
        <v>26</v>
      </c>
      <c r="G436" s="2">
        <v>167.5</v>
      </c>
      <c r="H436" t="s">
        <v>27</v>
      </c>
      <c r="I436" t="s">
        <v>179</v>
      </c>
      <c r="J436" t="s">
        <v>18</v>
      </c>
      <c r="K436" t="s">
        <v>19</v>
      </c>
    </row>
    <row r="437" spans="1:11">
      <c r="A437" s="1">
        <v>45823</v>
      </c>
      <c r="B437" t="s">
        <v>90</v>
      </c>
      <c r="C437" t="s">
        <v>104</v>
      </c>
      <c r="D437" t="s">
        <v>120</v>
      </c>
      <c r="E437" t="s">
        <v>25</v>
      </c>
      <c r="F437" t="s">
        <v>26</v>
      </c>
      <c r="G437" s="2">
        <v>175</v>
      </c>
      <c r="H437" t="s">
        <v>27</v>
      </c>
      <c r="I437" t="s">
        <v>179</v>
      </c>
      <c r="J437" t="s">
        <v>18</v>
      </c>
      <c r="K437" t="s">
        <v>19</v>
      </c>
    </row>
    <row r="438" spans="1:11">
      <c r="A438" s="1">
        <v>45823</v>
      </c>
      <c r="B438" t="s">
        <v>90</v>
      </c>
      <c r="C438" t="s">
        <v>104</v>
      </c>
      <c r="D438" t="s">
        <v>157</v>
      </c>
      <c r="E438" t="s">
        <v>25</v>
      </c>
      <c r="F438" t="s">
        <v>26</v>
      </c>
      <c r="G438" s="2">
        <v>170</v>
      </c>
      <c r="H438" t="s">
        <v>27</v>
      </c>
      <c r="I438" t="s">
        <v>179</v>
      </c>
      <c r="J438" t="s">
        <v>18</v>
      </c>
      <c r="K438" t="s">
        <v>19</v>
      </c>
    </row>
    <row r="439" spans="1:11">
      <c r="A439" s="1">
        <v>45915</v>
      </c>
      <c r="B439" t="s">
        <v>63</v>
      </c>
      <c r="C439" t="s">
        <v>64</v>
      </c>
      <c r="D439" t="s">
        <v>68</v>
      </c>
      <c r="E439" t="s">
        <v>25</v>
      </c>
      <c r="F439" t="s">
        <v>26</v>
      </c>
      <c r="G439" s="2">
        <v>117.8</v>
      </c>
      <c r="H439" t="s">
        <v>27</v>
      </c>
      <c r="I439" t="s">
        <v>179</v>
      </c>
      <c r="J439" t="s">
        <v>18</v>
      </c>
      <c r="K439" t="s">
        <v>19</v>
      </c>
    </row>
    <row r="440" spans="1:11">
      <c r="A440" s="1">
        <v>45915</v>
      </c>
      <c r="B440" t="s">
        <v>63</v>
      </c>
      <c r="C440" t="s">
        <v>64</v>
      </c>
      <c r="D440" t="s">
        <v>71</v>
      </c>
      <c r="E440" t="s">
        <v>25</v>
      </c>
      <c r="F440" t="s">
        <v>26</v>
      </c>
      <c r="G440" s="2">
        <v>120.54</v>
      </c>
      <c r="H440" t="s">
        <v>27</v>
      </c>
      <c r="I440" t="s">
        <v>179</v>
      </c>
      <c r="J440" t="s">
        <v>18</v>
      </c>
      <c r="K440" t="s">
        <v>19</v>
      </c>
    </row>
    <row r="441" spans="1:11">
      <c r="A441" s="1">
        <v>45915</v>
      </c>
      <c r="B441" t="s">
        <v>63</v>
      </c>
      <c r="C441" t="s">
        <v>64</v>
      </c>
      <c r="D441" t="s">
        <v>72</v>
      </c>
      <c r="E441" t="s">
        <v>25</v>
      </c>
      <c r="F441" t="s">
        <v>26</v>
      </c>
      <c r="G441" s="2">
        <v>123.63</v>
      </c>
      <c r="H441" t="s">
        <v>27</v>
      </c>
      <c r="I441" t="s">
        <v>179</v>
      </c>
      <c r="J441" t="s">
        <v>18</v>
      </c>
      <c r="K441" t="s">
        <v>19</v>
      </c>
    </row>
    <row r="442" spans="1:11">
      <c r="A442" s="1">
        <v>45915</v>
      </c>
      <c r="B442" t="s">
        <v>90</v>
      </c>
      <c r="C442" t="s">
        <v>104</v>
      </c>
      <c r="D442" t="s">
        <v>108</v>
      </c>
      <c r="E442" t="s">
        <v>25</v>
      </c>
      <c r="F442" t="s">
        <v>26</v>
      </c>
      <c r="G442" s="2">
        <v>169.83</v>
      </c>
      <c r="H442" t="s">
        <v>27</v>
      </c>
      <c r="I442" t="s">
        <v>179</v>
      </c>
      <c r="J442" t="s">
        <v>18</v>
      </c>
      <c r="K442" t="s">
        <v>19</v>
      </c>
    </row>
    <row r="443" spans="1:11">
      <c r="A443" s="1">
        <v>45915</v>
      </c>
      <c r="B443" t="s">
        <v>90</v>
      </c>
      <c r="C443" t="s">
        <v>104</v>
      </c>
      <c r="D443" t="s">
        <v>112</v>
      </c>
      <c r="E443" t="s">
        <v>25</v>
      </c>
      <c r="F443" t="s">
        <v>26</v>
      </c>
      <c r="G443" s="2">
        <v>171.5</v>
      </c>
      <c r="H443" t="s">
        <v>27</v>
      </c>
      <c r="I443" t="s">
        <v>179</v>
      </c>
      <c r="J443" t="s">
        <v>18</v>
      </c>
      <c r="K443" t="s">
        <v>19</v>
      </c>
    </row>
    <row r="444" spans="1:11">
      <c r="A444" s="1">
        <v>45915</v>
      </c>
      <c r="B444" t="s">
        <v>90</v>
      </c>
      <c r="C444" t="s">
        <v>104</v>
      </c>
      <c r="D444" t="s">
        <v>113</v>
      </c>
      <c r="E444" t="s">
        <v>25</v>
      </c>
      <c r="F444" t="s">
        <v>26</v>
      </c>
      <c r="G444" s="2">
        <v>171</v>
      </c>
      <c r="H444" t="s">
        <v>27</v>
      </c>
      <c r="I444" t="s">
        <v>179</v>
      </c>
      <c r="J444" t="s">
        <v>18</v>
      </c>
      <c r="K444" t="s">
        <v>19</v>
      </c>
    </row>
    <row r="445" spans="1:11">
      <c r="A445" s="1">
        <v>45915</v>
      </c>
      <c r="B445" t="s">
        <v>90</v>
      </c>
      <c r="C445" t="s">
        <v>104</v>
      </c>
      <c r="D445" t="s">
        <v>118</v>
      </c>
      <c r="E445" t="s">
        <v>25</v>
      </c>
      <c r="F445" t="s">
        <v>26</v>
      </c>
      <c r="G445" s="2">
        <v>164.67</v>
      </c>
      <c r="H445" t="s">
        <v>27</v>
      </c>
      <c r="I445" t="s">
        <v>179</v>
      </c>
      <c r="J445" t="s">
        <v>18</v>
      </c>
      <c r="K445" t="s">
        <v>19</v>
      </c>
    </row>
    <row r="446" spans="1:11">
      <c r="A446" s="1">
        <v>45915</v>
      </c>
      <c r="B446" t="s">
        <v>90</v>
      </c>
      <c r="C446" t="s">
        <v>104</v>
      </c>
      <c r="D446" t="s">
        <v>119</v>
      </c>
      <c r="E446" t="s">
        <v>25</v>
      </c>
      <c r="F446" t="s">
        <v>26</v>
      </c>
      <c r="G446" s="2">
        <v>168.33</v>
      </c>
      <c r="H446" t="s">
        <v>27</v>
      </c>
      <c r="I446" t="s">
        <v>179</v>
      </c>
      <c r="J446" t="s">
        <v>18</v>
      </c>
      <c r="K446" t="s">
        <v>19</v>
      </c>
    </row>
    <row r="447" spans="1:11">
      <c r="A447" s="1">
        <v>45915</v>
      </c>
      <c r="B447" t="s">
        <v>90</v>
      </c>
      <c r="C447" t="s">
        <v>104</v>
      </c>
      <c r="D447" t="s">
        <v>120</v>
      </c>
      <c r="E447" t="s">
        <v>25</v>
      </c>
      <c r="F447" t="s">
        <v>26</v>
      </c>
      <c r="G447" s="2">
        <v>160.17</v>
      </c>
      <c r="H447" t="s">
        <v>27</v>
      </c>
      <c r="I447" t="s">
        <v>179</v>
      </c>
      <c r="J447" t="s">
        <v>18</v>
      </c>
      <c r="K447" t="s">
        <v>19</v>
      </c>
    </row>
    <row r="448" spans="1:11">
      <c r="A448" s="1">
        <v>46006</v>
      </c>
      <c r="B448" t="s">
        <v>63</v>
      </c>
      <c r="C448" t="s">
        <v>64</v>
      </c>
      <c r="D448" t="s">
        <v>68</v>
      </c>
      <c r="E448" t="s">
        <v>25</v>
      </c>
      <c r="F448" t="s">
        <v>26</v>
      </c>
      <c r="G448" s="2">
        <v>105</v>
      </c>
      <c r="H448" t="s">
        <v>27</v>
      </c>
      <c r="I448" t="s">
        <v>179</v>
      </c>
      <c r="J448" t="s">
        <v>18</v>
      </c>
      <c r="K448" t="s">
        <v>19</v>
      </c>
    </row>
    <row r="449" spans="1:11">
      <c r="A449" s="1">
        <v>46006</v>
      </c>
      <c r="B449" t="s">
        <v>63</v>
      </c>
      <c r="C449" t="s">
        <v>64</v>
      </c>
      <c r="D449" t="s">
        <v>72</v>
      </c>
      <c r="E449" t="s">
        <v>25</v>
      </c>
      <c r="F449" t="s">
        <v>26</v>
      </c>
      <c r="G449" s="2">
        <v>112</v>
      </c>
      <c r="H449" t="s">
        <v>27</v>
      </c>
      <c r="I449" t="s">
        <v>179</v>
      </c>
      <c r="J449" t="s">
        <v>18</v>
      </c>
      <c r="K449" t="s">
        <v>19</v>
      </c>
    </row>
    <row r="450" spans="1:11">
      <c r="A450" s="1">
        <v>46096</v>
      </c>
      <c r="B450" t="s">
        <v>63</v>
      </c>
      <c r="C450" t="s">
        <v>64</v>
      </c>
      <c r="D450" t="s">
        <v>68</v>
      </c>
      <c r="E450" t="s">
        <v>25</v>
      </c>
      <c r="F450" t="s">
        <v>26</v>
      </c>
      <c r="G450" s="2">
        <v>128.92</v>
      </c>
      <c r="H450" t="s">
        <v>27</v>
      </c>
      <c r="I450" t="s">
        <v>179</v>
      </c>
      <c r="J450" t="s">
        <v>18</v>
      </c>
      <c r="K450" t="s">
        <v>19</v>
      </c>
    </row>
    <row r="451" spans="1:11">
      <c r="A451" s="1">
        <v>46096</v>
      </c>
      <c r="B451" t="s">
        <v>63</v>
      </c>
      <c r="C451" t="s">
        <v>64</v>
      </c>
      <c r="D451" t="s">
        <v>71</v>
      </c>
      <c r="E451" t="s">
        <v>25</v>
      </c>
      <c r="F451" t="s">
        <v>26</v>
      </c>
      <c r="G451" s="2">
        <v>121.93</v>
      </c>
      <c r="H451" t="s">
        <v>27</v>
      </c>
      <c r="I451" t="s">
        <v>179</v>
      </c>
      <c r="J451" t="s">
        <v>18</v>
      </c>
      <c r="K451" t="s">
        <v>19</v>
      </c>
    </row>
    <row r="452" spans="1:11">
      <c r="A452" s="1">
        <v>46096</v>
      </c>
      <c r="B452" t="s">
        <v>63</v>
      </c>
      <c r="C452" t="s">
        <v>64</v>
      </c>
      <c r="D452" t="s">
        <v>72</v>
      </c>
      <c r="E452" t="s">
        <v>25</v>
      </c>
      <c r="F452" t="s">
        <v>26</v>
      </c>
      <c r="G452" s="2">
        <v>120.33</v>
      </c>
      <c r="H452" t="s">
        <v>27</v>
      </c>
      <c r="I452" t="s">
        <v>179</v>
      </c>
      <c r="J452" t="s">
        <v>18</v>
      </c>
      <c r="K452" t="s">
        <v>19</v>
      </c>
    </row>
    <row r="453" spans="1:11">
      <c r="A453" s="1">
        <v>46096</v>
      </c>
      <c r="B453" t="s">
        <v>90</v>
      </c>
      <c r="C453" t="s">
        <v>104</v>
      </c>
      <c r="D453" t="s">
        <v>108</v>
      </c>
      <c r="E453" t="s">
        <v>25</v>
      </c>
      <c r="F453" t="s">
        <v>26</v>
      </c>
      <c r="G453" s="2">
        <v>168.5</v>
      </c>
      <c r="H453" t="s">
        <v>27</v>
      </c>
      <c r="I453" t="s">
        <v>179</v>
      </c>
      <c r="J453" t="s">
        <v>18</v>
      </c>
      <c r="K453" t="s">
        <v>19</v>
      </c>
    </row>
    <row r="454" spans="1:11">
      <c r="A454" s="1">
        <v>46096</v>
      </c>
      <c r="B454" t="s">
        <v>90</v>
      </c>
      <c r="C454" t="s">
        <v>104</v>
      </c>
      <c r="D454" t="s">
        <v>109</v>
      </c>
      <c r="E454" t="s">
        <v>25</v>
      </c>
      <c r="F454" t="s">
        <v>26</v>
      </c>
      <c r="G454" s="2">
        <v>165</v>
      </c>
      <c r="H454" t="s">
        <v>27</v>
      </c>
      <c r="I454" t="s">
        <v>179</v>
      </c>
      <c r="J454" t="s">
        <v>18</v>
      </c>
      <c r="K454" t="s">
        <v>19</v>
      </c>
    </row>
    <row r="455" spans="1:11">
      <c r="A455" s="1">
        <v>46096</v>
      </c>
      <c r="B455" t="s">
        <v>90</v>
      </c>
      <c r="C455" t="s">
        <v>104</v>
      </c>
      <c r="D455" t="s">
        <v>112</v>
      </c>
      <c r="E455" t="s">
        <v>25</v>
      </c>
      <c r="F455" t="s">
        <v>26</v>
      </c>
      <c r="G455" s="2">
        <v>158.5</v>
      </c>
      <c r="H455" t="s">
        <v>27</v>
      </c>
      <c r="I455" t="s">
        <v>179</v>
      </c>
      <c r="J455" t="s">
        <v>18</v>
      </c>
      <c r="K455" t="s">
        <v>19</v>
      </c>
    </row>
    <row r="456" spans="1:11">
      <c r="A456" s="1">
        <v>46096</v>
      </c>
      <c r="B456" t="s">
        <v>90</v>
      </c>
      <c r="C456" t="s">
        <v>104</v>
      </c>
      <c r="D456" t="s">
        <v>113</v>
      </c>
      <c r="E456" t="s">
        <v>25</v>
      </c>
      <c r="F456" t="s">
        <v>26</v>
      </c>
      <c r="G456" s="2">
        <v>160</v>
      </c>
      <c r="H456" t="s">
        <v>27</v>
      </c>
      <c r="I456" t="s">
        <v>179</v>
      </c>
      <c r="J456" t="s">
        <v>18</v>
      </c>
      <c r="K456" t="s">
        <v>19</v>
      </c>
    </row>
    <row r="457" spans="1:11">
      <c r="A457" s="1">
        <v>46096</v>
      </c>
      <c r="B457" t="s">
        <v>90</v>
      </c>
      <c r="C457" t="s">
        <v>104</v>
      </c>
      <c r="D457" t="s">
        <v>114</v>
      </c>
      <c r="E457" t="s">
        <v>25</v>
      </c>
      <c r="F457" t="s">
        <v>26</v>
      </c>
      <c r="G457" s="2">
        <v>161.5</v>
      </c>
      <c r="H457" t="s">
        <v>27</v>
      </c>
      <c r="I457" t="s">
        <v>179</v>
      </c>
      <c r="J457" t="s">
        <v>18</v>
      </c>
      <c r="K457" t="s">
        <v>19</v>
      </c>
    </row>
    <row r="458" spans="1:11">
      <c r="A458" s="1">
        <v>46096</v>
      </c>
      <c r="B458" t="s">
        <v>90</v>
      </c>
      <c r="C458" t="s">
        <v>104</v>
      </c>
      <c r="D458" t="s">
        <v>118</v>
      </c>
      <c r="E458" t="s">
        <v>25</v>
      </c>
      <c r="F458" t="s">
        <v>26</v>
      </c>
      <c r="G458" s="2">
        <v>154</v>
      </c>
      <c r="H458" t="s">
        <v>27</v>
      </c>
      <c r="I458" t="s">
        <v>179</v>
      </c>
      <c r="J458" t="s">
        <v>18</v>
      </c>
      <c r="K458" t="s">
        <v>19</v>
      </c>
    </row>
    <row r="459" spans="1:11">
      <c r="A459" s="1">
        <v>46096</v>
      </c>
      <c r="B459" t="s">
        <v>90</v>
      </c>
      <c r="C459" t="s">
        <v>104</v>
      </c>
      <c r="D459" t="s">
        <v>119</v>
      </c>
      <c r="E459" t="s">
        <v>25</v>
      </c>
      <c r="F459" t="s">
        <v>26</v>
      </c>
      <c r="G459" s="2">
        <v>158</v>
      </c>
      <c r="H459" t="s">
        <v>27</v>
      </c>
      <c r="I459" t="s">
        <v>179</v>
      </c>
      <c r="J459" t="s">
        <v>18</v>
      </c>
      <c r="K459" t="s">
        <v>19</v>
      </c>
    </row>
    <row r="460" spans="1:11">
      <c r="A460" s="1">
        <v>46096</v>
      </c>
      <c r="B460" t="s">
        <v>90</v>
      </c>
      <c r="C460" t="s">
        <v>104</v>
      </c>
      <c r="D460" t="s">
        <v>120</v>
      </c>
      <c r="E460" t="s">
        <v>25</v>
      </c>
      <c r="F460" t="s">
        <v>26</v>
      </c>
      <c r="G460" s="2">
        <v>152.5</v>
      </c>
      <c r="H460" t="s">
        <v>27</v>
      </c>
      <c r="I460" t="s">
        <v>179</v>
      </c>
      <c r="J460" t="s">
        <v>18</v>
      </c>
      <c r="K460" t="s">
        <v>19</v>
      </c>
    </row>
    <row r="461" spans="1:11">
      <c r="A461" s="1">
        <v>45580</v>
      </c>
      <c r="B461" t="s">
        <v>63</v>
      </c>
      <c r="C461" t="s">
        <v>64</v>
      </c>
      <c r="D461" t="s">
        <v>68</v>
      </c>
      <c r="E461" t="s">
        <v>180</v>
      </c>
      <c r="F461" t="s">
        <v>26</v>
      </c>
      <c r="G461" s="2">
        <v>91.04000000000001</v>
      </c>
      <c r="H461" t="s">
        <v>27</v>
      </c>
      <c r="I461" t="s">
        <v>181</v>
      </c>
      <c r="J461" t="s">
        <v>18</v>
      </c>
      <c r="K461" t="s">
        <v>19</v>
      </c>
    </row>
    <row r="462" spans="1:11">
      <c r="A462" s="1">
        <v>45580</v>
      </c>
      <c r="B462" t="s">
        <v>63</v>
      </c>
      <c r="C462" t="s">
        <v>64</v>
      </c>
      <c r="D462" t="s">
        <v>68</v>
      </c>
      <c r="E462" t="s">
        <v>182</v>
      </c>
      <c r="F462" t="s">
        <v>26</v>
      </c>
      <c r="G462" s="2">
        <v>70.87</v>
      </c>
      <c r="H462" t="s">
        <v>27</v>
      </c>
      <c r="I462" t="s">
        <v>181</v>
      </c>
      <c r="J462" t="s">
        <v>18</v>
      </c>
      <c r="K462" t="s">
        <v>19</v>
      </c>
    </row>
    <row r="463" spans="1:11">
      <c r="A463" s="1">
        <v>45580</v>
      </c>
      <c r="B463" t="s">
        <v>63</v>
      </c>
      <c r="C463" t="s">
        <v>64</v>
      </c>
      <c r="D463" t="s">
        <v>68</v>
      </c>
      <c r="E463" t="s">
        <v>183</v>
      </c>
      <c r="F463" t="s">
        <v>26</v>
      </c>
      <c r="G463" s="2">
        <v>106.32</v>
      </c>
      <c r="H463" t="s">
        <v>27</v>
      </c>
      <c r="I463" t="s">
        <v>181</v>
      </c>
      <c r="J463" t="s">
        <v>18</v>
      </c>
      <c r="K463" t="s">
        <v>19</v>
      </c>
    </row>
    <row r="464" spans="1:11">
      <c r="A464" s="1">
        <v>45580</v>
      </c>
      <c r="B464" t="s">
        <v>63</v>
      </c>
      <c r="C464" t="s">
        <v>64</v>
      </c>
      <c r="D464" t="s">
        <v>68</v>
      </c>
      <c r="E464" t="s">
        <v>25</v>
      </c>
      <c r="F464" t="s">
        <v>26</v>
      </c>
      <c r="G464" s="2">
        <v>126.34</v>
      </c>
      <c r="H464" t="s">
        <v>27</v>
      </c>
      <c r="I464" t="s">
        <v>181</v>
      </c>
      <c r="J464" t="s">
        <v>18</v>
      </c>
      <c r="K464" t="s">
        <v>19</v>
      </c>
    </row>
    <row r="465" spans="1:11">
      <c r="A465" s="1">
        <v>45580</v>
      </c>
      <c r="B465" t="s">
        <v>63</v>
      </c>
      <c r="C465" t="s">
        <v>64</v>
      </c>
      <c r="D465" t="s">
        <v>68</v>
      </c>
      <c r="E465" t="s">
        <v>184</v>
      </c>
      <c r="F465" t="s">
        <v>185</v>
      </c>
      <c r="G465" s="2">
        <v>266.49</v>
      </c>
      <c r="H465" t="s">
        <v>27</v>
      </c>
      <c r="I465" t="s">
        <v>181</v>
      </c>
      <c r="J465" t="s">
        <v>18</v>
      </c>
      <c r="K465" t="s">
        <v>19</v>
      </c>
    </row>
    <row r="466" spans="1:11">
      <c r="A466" s="1">
        <v>45580</v>
      </c>
      <c r="B466" t="s">
        <v>63</v>
      </c>
      <c r="C466" t="s">
        <v>64</v>
      </c>
      <c r="D466" t="s">
        <v>68</v>
      </c>
      <c r="E466" t="s">
        <v>186</v>
      </c>
      <c r="F466" t="s">
        <v>26</v>
      </c>
      <c r="G466" s="2">
        <v>127.42</v>
      </c>
      <c r="H466" t="s">
        <v>27</v>
      </c>
      <c r="I466" t="s">
        <v>181</v>
      </c>
      <c r="J466" t="s">
        <v>18</v>
      </c>
      <c r="K466" t="s">
        <v>19</v>
      </c>
    </row>
    <row r="467" spans="1:11">
      <c r="A467" s="1">
        <v>45580</v>
      </c>
      <c r="B467" t="s">
        <v>63</v>
      </c>
      <c r="C467" t="s">
        <v>64</v>
      </c>
      <c r="D467" t="s">
        <v>71</v>
      </c>
      <c r="E467" t="s">
        <v>180</v>
      </c>
      <c r="F467" t="s">
        <v>26</v>
      </c>
      <c r="G467" s="2">
        <v>89.73999999999999</v>
      </c>
      <c r="H467" t="s">
        <v>27</v>
      </c>
      <c r="I467" t="s">
        <v>181</v>
      </c>
      <c r="J467" t="s">
        <v>18</v>
      </c>
      <c r="K467" t="s">
        <v>19</v>
      </c>
    </row>
    <row r="468" spans="1:11">
      <c r="A468" s="1">
        <v>45580</v>
      </c>
      <c r="B468" t="s">
        <v>63</v>
      </c>
      <c r="C468" t="s">
        <v>64</v>
      </c>
      <c r="D468" t="s">
        <v>71</v>
      </c>
      <c r="E468" t="s">
        <v>182</v>
      </c>
      <c r="F468" t="s">
        <v>26</v>
      </c>
      <c r="G468" s="2">
        <v>70.22</v>
      </c>
      <c r="H468" t="s">
        <v>27</v>
      </c>
      <c r="I468" t="s">
        <v>181</v>
      </c>
      <c r="J468" t="s">
        <v>18</v>
      </c>
      <c r="K468" t="s">
        <v>19</v>
      </c>
    </row>
    <row r="469" spans="1:11">
      <c r="A469" s="1">
        <v>45580</v>
      </c>
      <c r="B469" t="s">
        <v>63</v>
      </c>
      <c r="C469" t="s">
        <v>64</v>
      </c>
      <c r="D469" t="s">
        <v>71</v>
      </c>
      <c r="E469" t="s">
        <v>183</v>
      </c>
      <c r="F469" t="s">
        <v>26</v>
      </c>
      <c r="G469" s="2">
        <v>100.94</v>
      </c>
      <c r="H469" t="s">
        <v>27</v>
      </c>
      <c r="I469" t="s">
        <v>181</v>
      </c>
      <c r="J469" t="s">
        <v>18</v>
      </c>
      <c r="K469" t="s">
        <v>19</v>
      </c>
    </row>
    <row r="470" spans="1:11">
      <c r="A470" s="1">
        <v>45580</v>
      </c>
      <c r="B470" t="s">
        <v>63</v>
      </c>
      <c r="C470" t="s">
        <v>64</v>
      </c>
      <c r="D470" t="s">
        <v>71</v>
      </c>
      <c r="E470" t="s">
        <v>25</v>
      </c>
      <c r="F470" t="s">
        <v>26</v>
      </c>
      <c r="G470" s="2">
        <v>125.19</v>
      </c>
      <c r="H470" t="s">
        <v>27</v>
      </c>
      <c r="I470" t="s">
        <v>181</v>
      </c>
      <c r="J470" t="s">
        <v>18</v>
      </c>
      <c r="K470" t="s">
        <v>19</v>
      </c>
    </row>
    <row r="471" spans="1:11">
      <c r="A471" s="1">
        <v>45580</v>
      </c>
      <c r="B471" t="s">
        <v>63</v>
      </c>
      <c r="C471" t="s">
        <v>64</v>
      </c>
      <c r="D471" t="s">
        <v>71</v>
      </c>
      <c r="E471" t="s">
        <v>184</v>
      </c>
      <c r="F471" t="s">
        <v>185</v>
      </c>
      <c r="G471" s="2">
        <v>249.1</v>
      </c>
      <c r="H471" t="s">
        <v>27</v>
      </c>
      <c r="I471" t="s">
        <v>181</v>
      </c>
      <c r="J471" t="s">
        <v>18</v>
      </c>
      <c r="K471" t="s">
        <v>19</v>
      </c>
    </row>
    <row r="472" spans="1:11">
      <c r="A472" s="1">
        <v>45580</v>
      </c>
      <c r="B472" t="s">
        <v>63</v>
      </c>
      <c r="C472" t="s">
        <v>64</v>
      </c>
      <c r="D472" t="s">
        <v>71</v>
      </c>
      <c r="E472" t="s">
        <v>186</v>
      </c>
      <c r="F472" t="s">
        <v>26</v>
      </c>
      <c r="G472" s="2">
        <v>123.94</v>
      </c>
      <c r="H472" t="s">
        <v>27</v>
      </c>
      <c r="I472" t="s">
        <v>181</v>
      </c>
      <c r="J472" t="s">
        <v>18</v>
      </c>
      <c r="K472" t="s">
        <v>19</v>
      </c>
    </row>
    <row r="473" spans="1:11">
      <c r="A473" s="1">
        <v>45580</v>
      </c>
      <c r="B473" t="s">
        <v>63</v>
      </c>
      <c r="C473" t="s">
        <v>64</v>
      </c>
      <c r="D473" t="s">
        <v>72</v>
      </c>
      <c r="E473" t="s">
        <v>180</v>
      </c>
      <c r="F473" t="s">
        <v>26</v>
      </c>
      <c r="G473" s="2">
        <v>100.09</v>
      </c>
      <c r="H473" t="s">
        <v>27</v>
      </c>
      <c r="I473" t="s">
        <v>181</v>
      </c>
      <c r="J473" t="s">
        <v>18</v>
      </c>
      <c r="K473" t="s">
        <v>19</v>
      </c>
    </row>
    <row r="474" spans="1:11">
      <c r="A474" s="1">
        <v>45580</v>
      </c>
      <c r="B474" t="s">
        <v>63</v>
      </c>
      <c r="C474" t="s">
        <v>64</v>
      </c>
      <c r="D474" t="s">
        <v>72</v>
      </c>
      <c r="E474" t="s">
        <v>182</v>
      </c>
      <c r="F474" t="s">
        <v>26</v>
      </c>
      <c r="G474" s="2">
        <v>74.73</v>
      </c>
      <c r="H474" t="s">
        <v>27</v>
      </c>
      <c r="I474" t="s">
        <v>181</v>
      </c>
      <c r="J474" t="s">
        <v>18</v>
      </c>
      <c r="K474" t="s">
        <v>19</v>
      </c>
    </row>
    <row r="475" spans="1:11">
      <c r="A475" s="1">
        <v>45580</v>
      </c>
      <c r="B475" t="s">
        <v>63</v>
      </c>
      <c r="C475" t="s">
        <v>64</v>
      </c>
      <c r="D475" t="s">
        <v>72</v>
      </c>
      <c r="E475" t="s">
        <v>183</v>
      </c>
      <c r="F475" t="s">
        <v>26</v>
      </c>
      <c r="G475" s="2">
        <v>111.76</v>
      </c>
      <c r="H475" t="s">
        <v>27</v>
      </c>
      <c r="I475" t="s">
        <v>181</v>
      </c>
      <c r="J475" t="s">
        <v>18</v>
      </c>
      <c r="K475" t="s">
        <v>19</v>
      </c>
    </row>
    <row r="476" spans="1:11">
      <c r="A476" s="1">
        <v>45580</v>
      </c>
      <c r="B476" t="s">
        <v>63</v>
      </c>
      <c r="C476" t="s">
        <v>64</v>
      </c>
      <c r="D476" t="s">
        <v>72</v>
      </c>
      <c r="E476" t="s">
        <v>25</v>
      </c>
      <c r="F476" t="s">
        <v>26</v>
      </c>
      <c r="G476" s="2">
        <v>125.78</v>
      </c>
      <c r="H476" t="s">
        <v>27</v>
      </c>
      <c r="I476" t="s">
        <v>181</v>
      </c>
      <c r="J476" t="s">
        <v>18</v>
      </c>
      <c r="K476" t="s">
        <v>19</v>
      </c>
    </row>
    <row r="477" spans="1:11">
      <c r="A477" s="1">
        <v>45580</v>
      </c>
      <c r="B477" t="s">
        <v>63</v>
      </c>
      <c r="C477" t="s">
        <v>64</v>
      </c>
      <c r="D477" t="s">
        <v>72</v>
      </c>
      <c r="E477" t="s">
        <v>184</v>
      </c>
      <c r="F477" t="s">
        <v>185</v>
      </c>
      <c r="G477" s="2">
        <v>244.65</v>
      </c>
      <c r="H477" t="s">
        <v>27</v>
      </c>
      <c r="I477" t="s">
        <v>181</v>
      </c>
      <c r="J477" t="s">
        <v>18</v>
      </c>
      <c r="K477" t="s">
        <v>19</v>
      </c>
    </row>
    <row r="478" spans="1:11">
      <c r="A478" s="1">
        <v>45580</v>
      </c>
      <c r="B478" t="s">
        <v>63</v>
      </c>
      <c r="C478" t="s">
        <v>64</v>
      </c>
      <c r="D478" t="s">
        <v>72</v>
      </c>
      <c r="E478" t="s">
        <v>186</v>
      </c>
      <c r="F478" t="s">
        <v>26</v>
      </c>
      <c r="G478" s="2">
        <v>125.22</v>
      </c>
      <c r="H478" t="s">
        <v>27</v>
      </c>
      <c r="I478" t="s">
        <v>181</v>
      </c>
      <c r="J478" t="s">
        <v>18</v>
      </c>
      <c r="K478" t="s">
        <v>19</v>
      </c>
    </row>
    <row r="479" spans="1:11">
      <c r="A479" s="1">
        <v>45580</v>
      </c>
      <c r="B479" t="s">
        <v>90</v>
      </c>
      <c r="C479" t="s">
        <v>104</v>
      </c>
      <c r="D479" t="s">
        <v>108</v>
      </c>
      <c r="E479" t="s">
        <v>180</v>
      </c>
      <c r="F479" t="s">
        <v>26</v>
      </c>
      <c r="G479" s="2">
        <v>76.67</v>
      </c>
      <c r="H479" t="s">
        <v>27</v>
      </c>
      <c r="I479" t="s">
        <v>181</v>
      </c>
      <c r="J479" t="s">
        <v>18</v>
      </c>
      <c r="K479" t="s">
        <v>19</v>
      </c>
    </row>
    <row r="480" spans="1:11">
      <c r="A480" s="1">
        <v>45580</v>
      </c>
      <c r="B480" t="s">
        <v>90</v>
      </c>
      <c r="C480" t="s">
        <v>104</v>
      </c>
      <c r="D480" t="s">
        <v>108</v>
      </c>
      <c r="E480" t="s">
        <v>182</v>
      </c>
      <c r="F480" t="s">
        <v>26</v>
      </c>
      <c r="G480" s="2">
        <v>70</v>
      </c>
      <c r="H480" t="s">
        <v>27</v>
      </c>
      <c r="I480" t="s">
        <v>181</v>
      </c>
      <c r="J480" t="s">
        <v>18</v>
      </c>
      <c r="K480" t="s">
        <v>19</v>
      </c>
    </row>
    <row r="481" spans="1:11">
      <c r="A481" s="1">
        <v>45580</v>
      </c>
      <c r="B481" t="s">
        <v>90</v>
      </c>
      <c r="C481" t="s">
        <v>104</v>
      </c>
      <c r="D481" t="s">
        <v>108</v>
      </c>
      <c r="E481" t="s">
        <v>183</v>
      </c>
      <c r="F481" t="s">
        <v>26</v>
      </c>
      <c r="G481" s="2">
        <v>146.67</v>
      </c>
      <c r="H481" t="s">
        <v>27</v>
      </c>
      <c r="I481" t="s">
        <v>181</v>
      </c>
      <c r="J481" t="s">
        <v>18</v>
      </c>
      <c r="K481" t="s">
        <v>19</v>
      </c>
    </row>
    <row r="482" spans="1:11">
      <c r="A482" s="1">
        <v>45580</v>
      </c>
      <c r="B482" t="s">
        <v>90</v>
      </c>
      <c r="C482" t="s">
        <v>104</v>
      </c>
      <c r="D482" t="s">
        <v>108</v>
      </c>
      <c r="E482" t="s">
        <v>25</v>
      </c>
      <c r="F482" t="s">
        <v>26</v>
      </c>
      <c r="G482" s="2">
        <v>140</v>
      </c>
      <c r="H482" t="s">
        <v>27</v>
      </c>
      <c r="I482" t="s">
        <v>181</v>
      </c>
      <c r="J482" t="s">
        <v>18</v>
      </c>
      <c r="K482" t="s">
        <v>19</v>
      </c>
    </row>
    <row r="483" spans="1:11">
      <c r="A483" s="1">
        <v>45580</v>
      </c>
      <c r="B483" t="s">
        <v>90</v>
      </c>
      <c r="C483" t="s">
        <v>104</v>
      </c>
      <c r="D483" t="s">
        <v>108</v>
      </c>
      <c r="E483" t="s">
        <v>184</v>
      </c>
      <c r="F483" t="s">
        <v>185</v>
      </c>
      <c r="G483" s="2">
        <v>276.67</v>
      </c>
      <c r="H483" t="s">
        <v>27</v>
      </c>
      <c r="I483" t="s">
        <v>181</v>
      </c>
      <c r="J483" t="s">
        <v>18</v>
      </c>
      <c r="K483" t="s">
        <v>19</v>
      </c>
    </row>
    <row r="484" spans="1:11">
      <c r="A484" s="1">
        <v>45580</v>
      </c>
      <c r="B484" t="s">
        <v>90</v>
      </c>
      <c r="C484" t="s">
        <v>104</v>
      </c>
      <c r="D484" t="s">
        <v>108</v>
      </c>
      <c r="E484" t="s">
        <v>186</v>
      </c>
      <c r="F484" t="s">
        <v>26</v>
      </c>
      <c r="G484" s="2">
        <v>150</v>
      </c>
      <c r="H484" t="s">
        <v>27</v>
      </c>
      <c r="I484" t="s">
        <v>181</v>
      </c>
      <c r="J484" t="s">
        <v>18</v>
      </c>
      <c r="K484" t="s">
        <v>19</v>
      </c>
    </row>
    <row r="485" spans="1:11">
      <c r="A485" s="1">
        <v>45580</v>
      </c>
      <c r="B485" t="s">
        <v>90</v>
      </c>
      <c r="C485" t="s">
        <v>104</v>
      </c>
      <c r="D485" t="s">
        <v>109</v>
      </c>
      <c r="E485" t="s">
        <v>180</v>
      </c>
      <c r="F485" t="s">
        <v>26</v>
      </c>
      <c r="G485" s="2">
        <v>75</v>
      </c>
      <c r="H485" t="s">
        <v>27</v>
      </c>
      <c r="I485" t="s">
        <v>181</v>
      </c>
      <c r="J485" t="s">
        <v>18</v>
      </c>
      <c r="K485" t="s">
        <v>19</v>
      </c>
    </row>
    <row r="486" spans="1:11">
      <c r="A486" s="1">
        <v>45580</v>
      </c>
      <c r="B486" t="s">
        <v>90</v>
      </c>
      <c r="C486" t="s">
        <v>104</v>
      </c>
      <c r="D486" t="s">
        <v>109</v>
      </c>
      <c r="E486" t="s">
        <v>183</v>
      </c>
      <c r="F486" t="s">
        <v>26</v>
      </c>
      <c r="G486" s="2">
        <v>140</v>
      </c>
      <c r="H486" t="s">
        <v>27</v>
      </c>
      <c r="I486" t="s">
        <v>181</v>
      </c>
      <c r="J486" t="s">
        <v>18</v>
      </c>
      <c r="K486" t="s">
        <v>19</v>
      </c>
    </row>
    <row r="487" spans="1:11">
      <c r="A487" s="1">
        <v>45580</v>
      </c>
      <c r="B487" t="s">
        <v>90</v>
      </c>
      <c r="C487" t="s">
        <v>104</v>
      </c>
      <c r="D487" t="s">
        <v>109</v>
      </c>
      <c r="E487" t="s">
        <v>25</v>
      </c>
      <c r="F487" t="s">
        <v>26</v>
      </c>
      <c r="G487" s="2">
        <v>150</v>
      </c>
      <c r="H487" t="s">
        <v>27</v>
      </c>
      <c r="I487" t="s">
        <v>181</v>
      </c>
      <c r="J487" t="s">
        <v>18</v>
      </c>
      <c r="K487" t="s">
        <v>19</v>
      </c>
    </row>
    <row r="488" spans="1:11">
      <c r="A488" s="1">
        <v>45580</v>
      </c>
      <c r="B488" t="s">
        <v>90</v>
      </c>
      <c r="C488" t="s">
        <v>104</v>
      </c>
      <c r="D488" t="s">
        <v>109</v>
      </c>
      <c r="E488" t="s">
        <v>184</v>
      </c>
      <c r="F488" t="s">
        <v>185</v>
      </c>
      <c r="G488" s="2">
        <v>300</v>
      </c>
      <c r="H488" t="s">
        <v>27</v>
      </c>
      <c r="I488" t="s">
        <v>181</v>
      </c>
      <c r="J488" t="s">
        <v>18</v>
      </c>
      <c r="K488" t="s">
        <v>19</v>
      </c>
    </row>
    <row r="489" spans="1:11">
      <c r="A489" s="1">
        <v>45580</v>
      </c>
      <c r="B489" t="s">
        <v>90</v>
      </c>
      <c r="C489" t="s">
        <v>104</v>
      </c>
      <c r="D489" t="s">
        <v>109</v>
      </c>
      <c r="E489" t="s">
        <v>186</v>
      </c>
      <c r="F489" t="s">
        <v>26</v>
      </c>
      <c r="G489" s="2">
        <v>165</v>
      </c>
      <c r="H489" t="s">
        <v>27</v>
      </c>
      <c r="I489" t="s">
        <v>181</v>
      </c>
      <c r="J489" t="s">
        <v>18</v>
      </c>
      <c r="K489" t="s">
        <v>19</v>
      </c>
    </row>
    <row r="490" spans="1:11">
      <c r="A490" s="1">
        <v>45580</v>
      </c>
      <c r="B490" t="s">
        <v>90</v>
      </c>
      <c r="C490" t="s">
        <v>104</v>
      </c>
      <c r="D490" t="s">
        <v>112</v>
      </c>
      <c r="E490" t="s">
        <v>180</v>
      </c>
      <c r="F490" t="s">
        <v>26</v>
      </c>
      <c r="G490" s="2">
        <v>75</v>
      </c>
      <c r="H490" t="s">
        <v>27</v>
      </c>
      <c r="I490" t="s">
        <v>181</v>
      </c>
      <c r="J490" t="s">
        <v>18</v>
      </c>
      <c r="K490" t="s">
        <v>19</v>
      </c>
    </row>
    <row r="491" spans="1:11">
      <c r="A491" s="1">
        <v>45580</v>
      </c>
      <c r="B491" t="s">
        <v>90</v>
      </c>
      <c r="C491" t="s">
        <v>104</v>
      </c>
      <c r="D491" t="s">
        <v>112</v>
      </c>
      <c r="E491" t="s">
        <v>182</v>
      </c>
      <c r="F491" t="s">
        <v>26</v>
      </c>
      <c r="G491" s="2">
        <v>80</v>
      </c>
      <c r="H491" t="s">
        <v>27</v>
      </c>
      <c r="I491" t="s">
        <v>181</v>
      </c>
      <c r="J491" t="s">
        <v>18</v>
      </c>
      <c r="K491" t="s">
        <v>19</v>
      </c>
    </row>
    <row r="492" spans="1:11">
      <c r="A492" s="1">
        <v>45580</v>
      </c>
      <c r="B492" t="s">
        <v>90</v>
      </c>
      <c r="C492" t="s">
        <v>104</v>
      </c>
      <c r="D492" t="s">
        <v>112</v>
      </c>
      <c r="E492" t="s">
        <v>183</v>
      </c>
      <c r="F492" t="s">
        <v>26</v>
      </c>
      <c r="G492" s="2">
        <v>140</v>
      </c>
      <c r="H492" t="s">
        <v>27</v>
      </c>
      <c r="I492" t="s">
        <v>181</v>
      </c>
      <c r="J492" t="s">
        <v>18</v>
      </c>
      <c r="K492" t="s">
        <v>19</v>
      </c>
    </row>
    <row r="493" spans="1:11">
      <c r="A493" s="1">
        <v>45580</v>
      </c>
      <c r="B493" t="s">
        <v>90</v>
      </c>
      <c r="C493" t="s">
        <v>104</v>
      </c>
      <c r="D493" t="s">
        <v>112</v>
      </c>
      <c r="E493" t="s">
        <v>25</v>
      </c>
      <c r="F493" t="s">
        <v>26</v>
      </c>
      <c r="G493" s="2">
        <v>125</v>
      </c>
      <c r="H493" t="s">
        <v>27</v>
      </c>
      <c r="I493" t="s">
        <v>181</v>
      </c>
      <c r="J493" t="s">
        <v>18</v>
      </c>
      <c r="K493" t="s">
        <v>19</v>
      </c>
    </row>
    <row r="494" spans="1:11">
      <c r="A494" s="1">
        <v>45580</v>
      </c>
      <c r="B494" t="s">
        <v>90</v>
      </c>
      <c r="C494" t="s">
        <v>104</v>
      </c>
      <c r="D494" t="s">
        <v>112</v>
      </c>
      <c r="E494" t="s">
        <v>184</v>
      </c>
      <c r="F494" t="s">
        <v>185</v>
      </c>
      <c r="G494" s="2">
        <v>250</v>
      </c>
      <c r="H494" t="s">
        <v>27</v>
      </c>
      <c r="I494" t="s">
        <v>181</v>
      </c>
      <c r="J494" t="s">
        <v>18</v>
      </c>
      <c r="K494" t="s">
        <v>19</v>
      </c>
    </row>
    <row r="495" spans="1:11">
      <c r="A495" s="1">
        <v>45580</v>
      </c>
      <c r="B495" t="s">
        <v>90</v>
      </c>
      <c r="C495" t="s">
        <v>104</v>
      </c>
      <c r="D495" t="s">
        <v>112</v>
      </c>
      <c r="E495" t="s">
        <v>186</v>
      </c>
      <c r="F495" t="s">
        <v>26</v>
      </c>
      <c r="G495" s="2">
        <v>145</v>
      </c>
      <c r="H495" t="s">
        <v>27</v>
      </c>
      <c r="I495" t="s">
        <v>181</v>
      </c>
      <c r="J495" t="s">
        <v>18</v>
      </c>
      <c r="K495" t="s">
        <v>19</v>
      </c>
    </row>
    <row r="496" spans="1:11">
      <c r="A496" s="1">
        <v>45580</v>
      </c>
      <c r="B496" t="s">
        <v>90</v>
      </c>
      <c r="C496" t="s">
        <v>104</v>
      </c>
      <c r="D496" t="s">
        <v>113</v>
      </c>
      <c r="E496" t="s">
        <v>180</v>
      </c>
      <c r="F496" t="s">
        <v>26</v>
      </c>
      <c r="G496" s="2">
        <v>74</v>
      </c>
      <c r="H496" t="s">
        <v>27</v>
      </c>
      <c r="I496" t="s">
        <v>181</v>
      </c>
      <c r="J496" t="s">
        <v>18</v>
      </c>
      <c r="K496" t="s">
        <v>19</v>
      </c>
    </row>
    <row r="497" spans="1:11">
      <c r="A497" s="1">
        <v>45580</v>
      </c>
      <c r="B497" t="s">
        <v>90</v>
      </c>
      <c r="C497" t="s">
        <v>104</v>
      </c>
      <c r="D497" t="s">
        <v>113</v>
      </c>
      <c r="E497" t="s">
        <v>183</v>
      </c>
      <c r="F497" t="s">
        <v>26</v>
      </c>
      <c r="G497" s="2">
        <v>134</v>
      </c>
      <c r="H497" t="s">
        <v>27</v>
      </c>
      <c r="I497" t="s">
        <v>181</v>
      </c>
      <c r="J497" t="s">
        <v>18</v>
      </c>
      <c r="K497" t="s">
        <v>19</v>
      </c>
    </row>
    <row r="498" spans="1:11">
      <c r="A498" s="1">
        <v>45580</v>
      </c>
      <c r="B498" t="s">
        <v>90</v>
      </c>
      <c r="C498" t="s">
        <v>104</v>
      </c>
      <c r="D498" t="s">
        <v>113</v>
      </c>
      <c r="E498" t="s">
        <v>25</v>
      </c>
      <c r="F498" t="s">
        <v>26</v>
      </c>
      <c r="G498" s="2">
        <v>134</v>
      </c>
      <c r="H498" t="s">
        <v>27</v>
      </c>
      <c r="I498" t="s">
        <v>181</v>
      </c>
      <c r="J498" t="s">
        <v>18</v>
      </c>
      <c r="K498" t="s">
        <v>19</v>
      </c>
    </row>
    <row r="499" spans="1:11">
      <c r="A499" s="1">
        <v>45580</v>
      </c>
      <c r="B499" t="s">
        <v>90</v>
      </c>
      <c r="C499" t="s">
        <v>104</v>
      </c>
      <c r="D499" t="s">
        <v>113</v>
      </c>
      <c r="E499" t="s">
        <v>184</v>
      </c>
      <c r="F499" t="s">
        <v>185</v>
      </c>
      <c r="G499" s="2">
        <v>250</v>
      </c>
      <c r="H499" t="s">
        <v>27</v>
      </c>
      <c r="I499" t="s">
        <v>181</v>
      </c>
      <c r="J499" t="s">
        <v>18</v>
      </c>
      <c r="K499" t="s">
        <v>19</v>
      </c>
    </row>
    <row r="500" spans="1:11">
      <c r="A500" s="1">
        <v>45580</v>
      </c>
      <c r="B500" t="s">
        <v>90</v>
      </c>
      <c r="C500" t="s">
        <v>104</v>
      </c>
      <c r="D500" t="s">
        <v>113</v>
      </c>
      <c r="E500" t="s">
        <v>186</v>
      </c>
      <c r="F500" t="s">
        <v>26</v>
      </c>
      <c r="G500" s="2">
        <v>158</v>
      </c>
      <c r="H500" t="s">
        <v>27</v>
      </c>
      <c r="I500" t="s">
        <v>181</v>
      </c>
      <c r="J500" t="s">
        <v>18</v>
      </c>
      <c r="K500" t="s">
        <v>19</v>
      </c>
    </row>
    <row r="501" spans="1:11">
      <c r="A501" s="1">
        <v>45580</v>
      </c>
      <c r="B501" t="s">
        <v>90</v>
      </c>
      <c r="C501" t="s">
        <v>104</v>
      </c>
      <c r="D501" t="s">
        <v>114</v>
      </c>
      <c r="E501" t="s">
        <v>180</v>
      </c>
      <c r="F501" t="s">
        <v>26</v>
      </c>
      <c r="G501" s="2">
        <v>77.5</v>
      </c>
      <c r="H501" t="s">
        <v>27</v>
      </c>
      <c r="I501" t="s">
        <v>181</v>
      </c>
      <c r="J501" t="s">
        <v>18</v>
      </c>
      <c r="K501" t="s">
        <v>19</v>
      </c>
    </row>
    <row r="502" spans="1:11">
      <c r="A502" s="1">
        <v>45580</v>
      </c>
      <c r="B502" t="s">
        <v>90</v>
      </c>
      <c r="C502" t="s">
        <v>104</v>
      </c>
      <c r="D502" t="s">
        <v>114</v>
      </c>
      <c r="E502" t="s">
        <v>183</v>
      </c>
      <c r="F502" t="s">
        <v>26</v>
      </c>
      <c r="G502" s="2">
        <v>142.5</v>
      </c>
      <c r="H502" t="s">
        <v>27</v>
      </c>
      <c r="I502" t="s">
        <v>181</v>
      </c>
      <c r="J502" t="s">
        <v>18</v>
      </c>
      <c r="K502" t="s">
        <v>19</v>
      </c>
    </row>
    <row r="503" spans="1:11">
      <c r="A503" s="1">
        <v>45580</v>
      </c>
      <c r="B503" t="s">
        <v>90</v>
      </c>
      <c r="C503" t="s">
        <v>104</v>
      </c>
      <c r="D503" t="s">
        <v>114</v>
      </c>
      <c r="E503" t="s">
        <v>25</v>
      </c>
      <c r="F503" t="s">
        <v>26</v>
      </c>
      <c r="G503" s="2">
        <v>142.5</v>
      </c>
      <c r="H503" t="s">
        <v>27</v>
      </c>
      <c r="I503" t="s">
        <v>181</v>
      </c>
      <c r="J503" t="s">
        <v>18</v>
      </c>
      <c r="K503" t="s">
        <v>19</v>
      </c>
    </row>
    <row r="504" spans="1:11">
      <c r="A504" s="1">
        <v>45580</v>
      </c>
      <c r="B504" t="s">
        <v>90</v>
      </c>
      <c r="C504" t="s">
        <v>104</v>
      </c>
      <c r="D504" t="s">
        <v>114</v>
      </c>
      <c r="E504" t="s">
        <v>184</v>
      </c>
      <c r="F504" t="s">
        <v>185</v>
      </c>
      <c r="G504" s="2">
        <v>283.33</v>
      </c>
      <c r="H504" t="s">
        <v>27</v>
      </c>
      <c r="I504" t="s">
        <v>181</v>
      </c>
      <c r="J504" t="s">
        <v>18</v>
      </c>
      <c r="K504" t="s">
        <v>19</v>
      </c>
    </row>
    <row r="505" spans="1:11">
      <c r="A505" s="1">
        <v>45580</v>
      </c>
      <c r="B505" t="s">
        <v>90</v>
      </c>
      <c r="C505" t="s">
        <v>104</v>
      </c>
      <c r="D505" t="s">
        <v>114</v>
      </c>
      <c r="E505" t="s">
        <v>186</v>
      </c>
      <c r="F505" t="s">
        <v>26</v>
      </c>
      <c r="G505" s="2">
        <v>147.5</v>
      </c>
      <c r="H505" t="s">
        <v>27</v>
      </c>
      <c r="I505" t="s">
        <v>181</v>
      </c>
      <c r="J505" t="s">
        <v>18</v>
      </c>
      <c r="K505" t="s">
        <v>19</v>
      </c>
    </row>
    <row r="506" spans="1:11">
      <c r="A506" s="1">
        <v>45580</v>
      </c>
      <c r="B506" t="s">
        <v>90</v>
      </c>
      <c r="C506" t="s">
        <v>104</v>
      </c>
      <c r="D506" t="s">
        <v>118</v>
      </c>
      <c r="E506" t="s">
        <v>180</v>
      </c>
      <c r="F506" t="s">
        <v>26</v>
      </c>
      <c r="G506" s="2">
        <v>72.5</v>
      </c>
      <c r="H506" t="s">
        <v>27</v>
      </c>
      <c r="I506" t="s">
        <v>181</v>
      </c>
      <c r="J506" t="s">
        <v>18</v>
      </c>
      <c r="K506" t="s">
        <v>19</v>
      </c>
    </row>
    <row r="507" spans="1:11">
      <c r="A507" s="1">
        <v>45580</v>
      </c>
      <c r="B507" t="s">
        <v>90</v>
      </c>
      <c r="C507" t="s">
        <v>104</v>
      </c>
      <c r="D507" t="s">
        <v>118</v>
      </c>
      <c r="E507" t="s">
        <v>182</v>
      </c>
      <c r="F507" t="s">
        <v>26</v>
      </c>
      <c r="G507" s="2">
        <v>75</v>
      </c>
      <c r="H507" t="s">
        <v>27</v>
      </c>
      <c r="I507" t="s">
        <v>181</v>
      </c>
      <c r="J507" t="s">
        <v>18</v>
      </c>
      <c r="K507" t="s">
        <v>19</v>
      </c>
    </row>
    <row r="508" spans="1:11">
      <c r="A508" s="1">
        <v>45580</v>
      </c>
      <c r="B508" t="s">
        <v>90</v>
      </c>
      <c r="C508" t="s">
        <v>104</v>
      </c>
      <c r="D508" t="s">
        <v>118</v>
      </c>
      <c r="E508" t="s">
        <v>183</v>
      </c>
      <c r="F508" t="s">
        <v>26</v>
      </c>
      <c r="G508" s="2">
        <v>110</v>
      </c>
      <c r="H508" t="s">
        <v>27</v>
      </c>
      <c r="I508" t="s">
        <v>181</v>
      </c>
      <c r="J508" t="s">
        <v>18</v>
      </c>
      <c r="K508" t="s">
        <v>19</v>
      </c>
    </row>
    <row r="509" spans="1:11">
      <c r="A509" s="1">
        <v>45580</v>
      </c>
      <c r="B509" t="s">
        <v>90</v>
      </c>
      <c r="C509" t="s">
        <v>104</v>
      </c>
      <c r="D509" t="s">
        <v>118</v>
      </c>
      <c r="E509" t="s">
        <v>25</v>
      </c>
      <c r="F509" t="s">
        <v>26</v>
      </c>
      <c r="G509" s="2">
        <v>127.5</v>
      </c>
      <c r="H509" t="s">
        <v>27</v>
      </c>
      <c r="I509" t="s">
        <v>181</v>
      </c>
      <c r="J509" t="s">
        <v>18</v>
      </c>
      <c r="K509" t="s">
        <v>19</v>
      </c>
    </row>
    <row r="510" spans="1:11">
      <c r="A510" s="1">
        <v>45580</v>
      </c>
      <c r="B510" t="s">
        <v>90</v>
      </c>
      <c r="C510" t="s">
        <v>104</v>
      </c>
      <c r="D510" t="s">
        <v>118</v>
      </c>
      <c r="E510" t="s">
        <v>184</v>
      </c>
      <c r="F510" t="s">
        <v>185</v>
      </c>
      <c r="G510" s="2">
        <v>257.5</v>
      </c>
      <c r="H510" t="s">
        <v>27</v>
      </c>
      <c r="I510" t="s">
        <v>181</v>
      </c>
      <c r="J510" t="s">
        <v>18</v>
      </c>
      <c r="K510" t="s">
        <v>19</v>
      </c>
    </row>
    <row r="511" spans="1:11">
      <c r="A511" s="1">
        <v>45580</v>
      </c>
      <c r="B511" t="s">
        <v>90</v>
      </c>
      <c r="C511" t="s">
        <v>104</v>
      </c>
      <c r="D511" t="s">
        <v>118</v>
      </c>
      <c r="E511" t="s">
        <v>186</v>
      </c>
      <c r="F511" t="s">
        <v>26</v>
      </c>
      <c r="G511" s="2">
        <v>117.5</v>
      </c>
      <c r="H511" t="s">
        <v>27</v>
      </c>
      <c r="I511" t="s">
        <v>181</v>
      </c>
      <c r="J511" t="s">
        <v>18</v>
      </c>
      <c r="K511" t="s">
        <v>19</v>
      </c>
    </row>
    <row r="512" spans="1:11">
      <c r="A512" s="1">
        <v>45580</v>
      </c>
      <c r="B512" t="s">
        <v>90</v>
      </c>
      <c r="C512" t="s">
        <v>104</v>
      </c>
      <c r="D512" t="s">
        <v>120</v>
      </c>
      <c r="E512" t="s">
        <v>180</v>
      </c>
      <c r="F512" t="s">
        <v>26</v>
      </c>
      <c r="G512" s="2">
        <v>80</v>
      </c>
      <c r="H512" t="s">
        <v>27</v>
      </c>
      <c r="I512" t="s">
        <v>181</v>
      </c>
      <c r="J512" t="s">
        <v>18</v>
      </c>
      <c r="K512" t="s">
        <v>19</v>
      </c>
    </row>
    <row r="513" spans="1:11">
      <c r="A513" s="1">
        <v>45580</v>
      </c>
      <c r="B513" t="s">
        <v>90</v>
      </c>
      <c r="C513" t="s">
        <v>104</v>
      </c>
      <c r="D513" t="s">
        <v>120</v>
      </c>
      <c r="E513" t="s">
        <v>182</v>
      </c>
      <c r="F513" t="s">
        <v>26</v>
      </c>
      <c r="G513" s="2">
        <v>100</v>
      </c>
      <c r="H513" t="s">
        <v>27</v>
      </c>
      <c r="I513" t="s">
        <v>181</v>
      </c>
      <c r="J513" t="s">
        <v>18</v>
      </c>
      <c r="K513" t="s">
        <v>19</v>
      </c>
    </row>
    <row r="514" spans="1:11">
      <c r="A514" s="1">
        <v>45580</v>
      </c>
      <c r="B514" t="s">
        <v>90</v>
      </c>
      <c r="C514" t="s">
        <v>104</v>
      </c>
      <c r="D514" t="s">
        <v>120</v>
      </c>
      <c r="E514" t="s">
        <v>183</v>
      </c>
      <c r="F514" t="s">
        <v>26</v>
      </c>
      <c r="G514" s="2">
        <v>100</v>
      </c>
      <c r="H514" t="s">
        <v>27</v>
      </c>
      <c r="I514" t="s">
        <v>181</v>
      </c>
      <c r="J514" t="s">
        <v>18</v>
      </c>
      <c r="K514" t="s">
        <v>19</v>
      </c>
    </row>
    <row r="515" spans="1:11">
      <c r="A515" s="1">
        <v>45580</v>
      </c>
      <c r="B515" t="s">
        <v>90</v>
      </c>
      <c r="C515" t="s">
        <v>104</v>
      </c>
      <c r="D515" t="s">
        <v>120</v>
      </c>
      <c r="E515" t="s">
        <v>25</v>
      </c>
      <c r="F515" t="s">
        <v>26</v>
      </c>
      <c r="G515" s="2">
        <v>130</v>
      </c>
      <c r="H515" t="s">
        <v>27</v>
      </c>
      <c r="I515" t="s">
        <v>181</v>
      </c>
      <c r="J515" t="s">
        <v>18</v>
      </c>
      <c r="K515" t="s">
        <v>19</v>
      </c>
    </row>
    <row r="516" spans="1:11">
      <c r="A516" s="1">
        <v>45580</v>
      </c>
      <c r="B516" t="s">
        <v>90</v>
      </c>
      <c r="C516" t="s">
        <v>104</v>
      </c>
      <c r="D516" t="s">
        <v>120</v>
      </c>
      <c r="E516" t="s">
        <v>184</v>
      </c>
      <c r="F516" t="s">
        <v>185</v>
      </c>
      <c r="G516" s="2">
        <v>315</v>
      </c>
      <c r="H516" t="s">
        <v>27</v>
      </c>
      <c r="I516" t="s">
        <v>181</v>
      </c>
      <c r="J516" t="s">
        <v>18</v>
      </c>
      <c r="K516" t="s">
        <v>19</v>
      </c>
    </row>
    <row r="517" spans="1:11">
      <c r="A517" s="1">
        <v>45580</v>
      </c>
      <c r="B517" t="s">
        <v>90</v>
      </c>
      <c r="C517" t="s">
        <v>104</v>
      </c>
      <c r="D517" t="s">
        <v>120</v>
      </c>
      <c r="E517" t="s">
        <v>186</v>
      </c>
      <c r="F517" t="s">
        <v>26</v>
      </c>
      <c r="G517" s="2">
        <v>130</v>
      </c>
      <c r="H517" t="s">
        <v>27</v>
      </c>
      <c r="I517" t="s">
        <v>181</v>
      </c>
      <c r="J517" t="s">
        <v>18</v>
      </c>
      <c r="K517" t="s">
        <v>19</v>
      </c>
    </row>
    <row r="518" spans="1:11">
      <c r="A518" s="1">
        <v>45580</v>
      </c>
      <c r="B518" t="s">
        <v>90</v>
      </c>
      <c r="C518" t="s">
        <v>104</v>
      </c>
      <c r="D518" t="s">
        <v>157</v>
      </c>
      <c r="E518" t="s">
        <v>180</v>
      </c>
      <c r="F518" t="s">
        <v>26</v>
      </c>
      <c r="G518" s="2">
        <v>70</v>
      </c>
      <c r="H518" t="s">
        <v>27</v>
      </c>
      <c r="I518" t="s">
        <v>181</v>
      </c>
      <c r="J518" t="s">
        <v>18</v>
      </c>
      <c r="K518" t="s">
        <v>19</v>
      </c>
    </row>
    <row r="519" spans="1:11">
      <c r="A519" s="1">
        <v>45580</v>
      </c>
      <c r="B519" t="s">
        <v>90</v>
      </c>
      <c r="C519" t="s">
        <v>104</v>
      </c>
      <c r="D519" t="s">
        <v>157</v>
      </c>
      <c r="E519" t="s">
        <v>182</v>
      </c>
      <c r="F519" t="s">
        <v>26</v>
      </c>
      <c r="G519" s="2">
        <v>70</v>
      </c>
      <c r="H519" t="s">
        <v>27</v>
      </c>
      <c r="I519" t="s">
        <v>181</v>
      </c>
      <c r="J519" t="s">
        <v>18</v>
      </c>
      <c r="K519" t="s">
        <v>19</v>
      </c>
    </row>
    <row r="520" spans="1:11">
      <c r="A520" s="1">
        <v>45580</v>
      </c>
      <c r="B520" t="s">
        <v>90</v>
      </c>
      <c r="C520" t="s">
        <v>104</v>
      </c>
      <c r="D520" t="s">
        <v>157</v>
      </c>
      <c r="E520" t="s">
        <v>183</v>
      </c>
      <c r="F520" t="s">
        <v>26</v>
      </c>
      <c r="G520" s="2">
        <v>120</v>
      </c>
      <c r="H520" t="s">
        <v>27</v>
      </c>
      <c r="I520" t="s">
        <v>181</v>
      </c>
      <c r="J520" t="s">
        <v>18</v>
      </c>
      <c r="K520" t="s">
        <v>19</v>
      </c>
    </row>
    <row r="521" spans="1:11">
      <c r="A521" s="1">
        <v>45580</v>
      </c>
      <c r="B521" t="s">
        <v>90</v>
      </c>
      <c r="C521" t="s">
        <v>104</v>
      </c>
      <c r="D521" t="s">
        <v>157</v>
      </c>
      <c r="E521" t="s">
        <v>25</v>
      </c>
      <c r="F521" t="s">
        <v>26</v>
      </c>
      <c r="G521" s="2">
        <v>130</v>
      </c>
      <c r="H521" t="s">
        <v>27</v>
      </c>
      <c r="I521" t="s">
        <v>181</v>
      </c>
      <c r="J521" t="s">
        <v>18</v>
      </c>
      <c r="K521" t="s">
        <v>19</v>
      </c>
    </row>
    <row r="522" spans="1:11">
      <c r="A522" s="1">
        <v>45580</v>
      </c>
      <c r="B522" t="s">
        <v>90</v>
      </c>
      <c r="C522" t="s">
        <v>104</v>
      </c>
      <c r="D522" t="s">
        <v>157</v>
      </c>
      <c r="E522" t="s">
        <v>184</v>
      </c>
      <c r="F522" t="s">
        <v>185</v>
      </c>
      <c r="G522" s="2">
        <v>250</v>
      </c>
      <c r="H522" t="s">
        <v>27</v>
      </c>
      <c r="I522" t="s">
        <v>181</v>
      </c>
      <c r="J522" t="s">
        <v>18</v>
      </c>
      <c r="K522" t="s">
        <v>19</v>
      </c>
    </row>
    <row r="523" spans="1:11">
      <c r="A523" s="1">
        <v>45580</v>
      </c>
      <c r="B523" t="s">
        <v>90</v>
      </c>
      <c r="C523" t="s">
        <v>104</v>
      </c>
      <c r="D523" t="s">
        <v>157</v>
      </c>
      <c r="E523" t="s">
        <v>186</v>
      </c>
      <c r="F523" t="s">
        <v>26</v>
      </c>
      <c r="G523" s="2">
        <v>130</v>
      </c>
      <c r="H523" t="s">
        <v>27</v>
      </c>
      <c r="I523" t="s">
        <v>181</v>
      </c>
      <c r="J523" t="s">
        <v>18</v>
      </c>
      <c r="K523" t="s">
        <v>19</v>
      </c>
    </row>
    <row r="524" spans="1:11">
      <c r="A524" s="1">
        <v>45611</v>
      </c>
      <c r="B524" t="s">
        <v>63</v>
      </c>
      <c r="C524" t="s">
        <v>64</v>
      </c>
      <c r="D524" t="s">
        <v>68</v>
      </c>
      <c r="E524" t="s">
        <v>180</v>
      </c>
      <c r="F524" t="s">
        <v>26</v>
      </c>
      <c r="G524" s="2">
        <v>93.92</v>
      </c>
      <c r="H524" t="s">
        <v>27</v>
      </c>
      <c r="I524" t="s">
        <v>181</v>
      </c>
      <c r="J524" t="s">
        <v>18</v>
      </c>
      <c r="K524" t="s">
        <v>19</v>
      </c>
    </row>
    <row r="525" spans="1:11">
      <c r="A525" s="1">
        <v>45611</v>
      </c>
      <c r="B525" t="s">
        <v>63</v>
      </c>
      <c r="C525" t="s">
        <v>64</v>
      </c>
      <c r="D525" t="s">
        <v>68</v>
      </c>
      <c r="E525" t="s">
        <v>182</v>
      </c>
      <c r="F525" t="s">
        <v>26</v>
      </c>
      <c r="G525" s="2">
        <v>66.69</v>
      </c>
      <c r="H525" t="s">
        <v>27</v>
      </c>
      <c r="I525" t="s">
        <v>181</v>
      </c>
      <c r="J525" t="s">
        <v>18</v>
      </c>
      <c r="K525" t="s">
        <v>19</v>
      </c>
    </row>
    <row r="526" spans="1:11">
      <c r="A526" s="1">
        <v>45611</v>
      </c>
      <c r="B526" t="s">
        <v>63</v>
      </c>
      <c r="C526" t="s">
        <v>64</v>
      </c>
      <c r="D526" t="s">
        <v>68</v>
      </c>
      <c r="E526" t="s">
        <v>183</v>
      </c>
      <c r="F526" t="s">
        <v>26</v>
      </c>
      <c r="G526" s="2">
        <v>110.24</v>
      </c>
      <c r="H526" t="s">
        <v>27</v>
      </c>
      <c r="I526" t="s">
        <v>181</v>
      </c>
      <c r="J526" t="s">
        <v>18</v>
      </c>
      <c r="K526" t="s">
        <v>19</v>
      </c>
    </row>
    <row r="527" spans="1:11">
      <c r="A527" s="1">
        <v>45611</v>
      </c>
      <c r="B527" t="s">
        <v>63</v>
      </c>
      <c r="C527" t="s">
        <v>64</v>
      </c>
      <c r="D527" t="s">
        <v>68</v>
      </c>
      <c r="E527" t="s">
        <v>25</v>
      </c>
      <c r="F527" t="s">
        <v>26</v>
      </c>
      <c r="G527" s="2">
        <v>124.79</v>
      </c>
      <c r="H527" t="s">
        <v>27</v>
      </c>
      <c r="I527" t="s">
        <v>181</v>
      </c>
      <c r="J527" t="s">
        <v>18</v>
      </c>
      <c r="K527" t="s">
        <v>19</v>
      </c>
    </row>
    <row r="528" spans="1:11">
      <c r="A528" s="1">
        <v>45611</v>
      </c>
      <c r="B528" t="s">
        <v>63</v>
      </c>
      <c r="C528" t="s">
        <v>64</v>
      </c>
      <c r="D528" t="s">
        <v>68</v>
      </c>
      <c r="E528" t="s">
        <v>184</v>
      </c>
      <c r="F528" t="s">
        <v>185</v>
      </c>
      <c r="G528" s="2">
        <v>271.27</v>
      </c>
      <c r="H528" t="s">
        <v>27</v>
      </c>
      <c r="I528" t="s">
        <v>181</v>
      </c>
      <c r="J528" t="s">
        <v>18</v>
      </c>
      <c r="K528" t="s">
        <v>19</v>
      </c>
    </row>
    <row r="529" spans="1:11">
      <c r="A529" s="1">
        <v>45611</v>
      </c>
      <c r="B529" t="s">
        <v>63</v>
      </c>
      <c r="C529" t="s">
        <v>64</v>
      </c>
      <c r="D529" t="s">
        <v>68</v>
      </c>
      <c r="E529" t="s">
        <v>186</v>
      </c>
      <c r="F529" t="s">
        <v>26</v>
      </c>
      <c r="G529" s="2">
        <v>123.97</v>
      </c>
      <c r="H529" t="s">
        <v>27</v>
      </c>
      <c r="I529" t="s">
        <v>181</v>
      </c>
      <c r="J529" t="s">
        <v>18</v>
      </c>
      <c r="K529" t="s">
        <v>19</v>
      </c>
    </row>
    <row r="530" spans="1:11">
      <c r="A530" s="1">
        <v>45611</v>
      </c>
      <c r="B530" t="s">
        <v>63</v>
      </c>
      <c r="C530" t="s">
        <v>64</v>
      </c>
      <c r="D530" t="s">
        <v>71</v>
      </c>
      <c r="E530" t="s">
        <v>180</v>
      </c>
      <c r="F530" t="s">
        <v>26</v>
      </c>
      <c r="G530" s="2">
        <v>86.37</v>
      </c>
      <c r="H530" t="s">
        <v>27</v>
      </c>
      <c r="I530" t="s">
        <v>181</v>
      </c>
      <c r="J530" t="s">
        <v>18</v>
      </c>
      <c r="K530" t="s">
        <v>19</v>
      </c>
    </row>
    <row r="531" spans="1:11">
      <c r="A531" s="1">
        <v>45611</v>
      </c>
      <c r="B531" t="s">
        <v>63</v>
      </c>
      <c r="C531" t="s">
        <v>64</v>
      </c>
      <c r="D531" t="s">
        <v>71</v>
      </c>
      <c r="E531" t="s">
        <v>182</v>
      </c>
      <c r="F531" t="s">
        <v>26</v>
      </c>
      <c r="G531" s="2">
        <v>69.14</v>
      </c>
      <c r="H531" t="s">
        <v>27</v>
      </c>
      <c r="I531" t="s">
        <v>181</v>
      </c>
      <c r="J531" t="s">
        <v>18</v>
      </c>
      <c r="K531" t="s">
        <v>19</v>
      </c>
    </row>
    <row r="532" spans="1:11">
      <c r="A532" s="1">
        <v>45611</v>
      </c>
      <c r="B532" t="s">
        <v>63</v>
      </c>
      <c r="C532" t="s">
        <v>64</v>
      </c>
      <c r="D532" t="s">
        <v>71</v>
      </c>
      <c r="E532" t="s">
        <v>183</v>
      </c>
      <c r="F532" t="s">
        <v>26</v>
      </c>
      <c r="G532" s="2">
        <v>99.5</v>
      </c>
      <c r="H532" t="s">
        <v>27</v>
      </c>
      <c r="I532" t="s">
        <v>181</v>
      </c>
      <c r="J532" t="s">
        <v>18</v>
      </c>
      <c r="K532" t="s">
        <v>19</v>
      </c>
    </row>
    <row r="533" spans="1:11">
      <c r="A533" s="1">
        <v>45611</v>
      </c>
      <c r="B533" t="s">
        <v>63</v>
      </c>
      <c r="C533" t="s">
        <v>64</v>
      </c>
      <c r="D533" t="s">
        <v>71</v>
      </c>
      <c r="E533" t="s">
        <v>25</v>
      </c>
      <c r="F533" t="s">
        <v>26</v>
      </c>
      <c r="G533" s="2">
        <v>123.5</v>
      </c>
      <c r="H533" t="s">
        <v>27</v>
      </c>
      <c r="I533" t="s">
        <v>181</v>
      </c>
      <c r="J533" t="s">
        <v>18</v>
      </c>
      <c r="K533" t="s">
        <v>19</v>
      </c>
    </row>
    <row r="534" spans="1:11">
      <c r="A534" s="1">
        <v>45611</v>
      </c>
      <c r="B534" t="s">
        <v>63</v>
      </c>
      <c r="C534" t="s">
        <v>64</v>
      </c>
      <c r="D534" t="s">
        <v>71</v>
      </c>
      <c r="E534" t="s">
        <v>184</v>
      </c>
      <c r="F534" t="s">
        <v>185</v>
      </c>
      <c r="G534" s="2">
        <v>280.68</v>
      </c>
      <c r="H534" t="s">
        <v>27</v>
      </c>
      <c r="I534" t="s">
        <v>181</v>
      </c>
      <c r="J534" t="s">
        <v>18</v>
      </c>
      <c r="K534" t="s">
        <v>19</v>
      </c>
    </row>
    <row r="535" spans="1:11">
      <c r="A535" s="1">
        <v>45611</v>
      </c>
      <c r="B535" t="s">
        <v>63</v>
      </c>
      <c r="C535" t="s">
        <v>64</v>
      </c>
      <c r="D535" t="s">
        <v>71</v>
      </c>
      <c r="E535" t="s">
        <v>186</v>
      </c>
      <c r="F535" t="s">
        <v>26</v>
      </c>
      <c r="G535" s="2">
        <v>122.63</v>
      </c>
      <c r="H535" t="s">
        <v>27</v>
      </c>
      <c r="I535" t="s">
        <v>181</v>
      </c>
      <c r="J535" t="s">
        <v>18</v>
      </c>
      <c r="K535" t="s">
        <v>19</v>
      </c>
    </row>
    <row r="536" spans="1:11">
      <c r="A536" s="1">
        <v>45611</v>
      </c>
      <c r="B536" t="s">
        <v>63</v>
      </c>
      <c r="C536" t="s">
        <v>64</v>
      </c>
      <c r="D536" t="s">
        <v>72</v>
      </c>
      <c r="E536" t="s">
        <v>180</v>
      </c>
      <c r="F536" t="s">
        <v>26</v>
      </c>
      <c r="G536" s="2">
        <v>100.92</v>
      </c>
      <c r="H536" t="s">
        <v>27</v>
      </c>
      <c r="I536" t="s">
        <v>181</v>
      </c>
      <c r="J536" t="s">
        <v>18</v>
      </c>
      <c r="K536" t="s">
        <v>19</v>
      </c>
    </row>
    <row r="537" spans="1:11">
      <c r="A537" s="1">
        <v>45611</v>
      </c>
      <c r="B537" t="s">
        <v>63</v>
      </c>
      <c r="C537" t="s">
        <v>64</v>
      </c>
      <c r="D537" t="s">
        <v>72</v>
      </c>
      <c r="E537" t="s">
        <v>182</v>
      </c>
      <c r="F537" t="s">
        <v>26</v>
      </c>
      <c r="G537" s="2">
        <v>74.69</v>
      </c>
      <c r="H537" t="s">
        <v>27</v>
      </c>
      <c r="I537" t="s">
        <v>181</v>
      </c>
      <c r="J537" t="s">
        <v>18</v>
      </c>
      <c r="K537" t="s">
        <v>19</v>
      </c>
    </row>
    <row r="538" spans="1:11">
      <c r="A538" s="1">
        <v>45611</v>
      </c>
      <c r="B538" t="s">
        <v>63</v>
      </c>
      <c r="C538" t="s">
        <v>64</v>
      </c>
      <c r="D538" t="s">
        <v>72</v>
      </c>
      <c r="E538" t="s">
        <v>183</v>
      </c>
      <c r="F538" t="s">
        <v>26</v>
      </c>
      <c r="G538" s="2">
        <v>112.63</v>
      </c>
      <c r="H538" t="s">
        <v>27</v>
      </c>
      <c r="I538" t="s">
        <v>181</v>
      </c>
      <c r="J538" t="s">
        <v>18</v>
      </c>
      <c r="K538" t="s">
        <v>19</v>
      </c>
    </row>
    <row r="539" spans="1:11">
      <c r="A539" s="1">
        <v>45611</v>
      </c>
      <c r="B539" t="s">
        <v>63</v>
      </c>
      <c r="C539" t="s">
        <v>64</v>
      </c>
      <c r="D539" t="s">
        <v>72</v>
      </c>
      <c r="E539" t="s">
        <v>25</v>
      </c>
      <c r="F539" t="s">
        <v>26</v>
      </c>
      <c r="G539" s="2">
        <v>122.74</v>
      </c>
      <c r="H539" t="s">
        <v>27</v>
      </c>
      <c r="I539" t="s">
        <v>181</v>
      </c>
      <c r="J539" t="s">
        <v>18</v>
      </c>
      <c r="K539" t="s">
        <v>19</v>
      </c>
    </row>
    <row r="540" spans="1:11">
      <c r="A540" s="1">
        <v>45611</v>
      </c>
      <c r="B540" t="s">
        <v>63</v>
      </c>
      <c r="C540" t="s">
        <v>64</v>
      </c>
      <c r="D540" t="s">
        <v>72</v>
      </c>
      <c r="E540" t="s">
        <v>184</v>
      </c>
      <c r="F540" t="s">
        <v>185</v>
      </c>
      <c r="G540" s="2">
        <v>249.41</v>
      </c>
      <c r="H540" t="s">
        <v>27</v>
      </c>
      <c r="I540" t="s">
        <v>181</v>
      </c>
      <c r="J540" t="s">
        <v>18</v>
      </c>
      <c r="K540" t="s">
        <v>19</v>
      </c>
    </row>
    <row r="541" spans="1:11">
      <c r="A541" s="1">
        <v>45611</v>
      </c>
      <c r="B541" t="s">
        <v>63</v>
      </c>
      <c r="C541" t="s">
        <v>64</v>
      </c>
      <c r="D541" t="s">
        <v>72</v>
      </c>
      <c r="E541" t="s">
        <v>186</v>
      </c>
      <c r="F541" t="s">
        <v>26</v>
      </c>
      <c r="G541" s="2">
        <v>122.27</v>
      </c>
      <c r="H541" t="s">
        <v>27</v>
      </c>
      <c r="I541" t="s">
        <v>181</v>
      </c>
      <c r="J541" t="s">
        <v>18</v>
      </c>
      <c r="K541" t="s">
        <v>19</v>
      </c>
    </row>
    <row r="542" spans="1:11">
      <c r="A542" s="1">
        <v>45611</v>
      </c>
      <c r="B542" t="s">
        <v>90</v>
      </c>
      <c r="C542" t="s">
        <v>104</v>
      </c>
      <c r="D542" t="s">
        <v>108</v>
      </c>
      <c r="E542" t="s">
        <v>180</v>
      </c>
      <c r="F542" t="s">
        <v>26</v>
      </c>
      <c r="G542" s="2">
        <v>80</v>
      </c>
      <c r="H542" t="s">
        <v>27</v>
      </c>
      <c r="I542" t="s">
        <v>181</v>
      </c>
      <c r="J542" t="s">
        <v>18</v>
      </c>
      <c r="K542" t="s">
        <v>19</v>
      </c>
    </row>
    <row r="543" spans="1:11">
      <c r="A543" s="1">
        <v>45611</v>
      </c>
      <c r="B543" t="s">
        <v>90</v>
      </c>
      <c r="C543" t="s">
        <v>104</v>
      </c>
      <c r="D543" t="s">
        <v>108</v>
      </c>
      <c r="E543" t="s">
        <v>182</v>
      </c>
      <c r="F543" t="s">
        <v>26</v>
      </c>
      <c r="G543" s="2">
        <v>90</v>
      </c>
      <c r="H543" t="s">
        <v>27</v>
      </c>
      <c r="I543" t="s">
        <v>181</v>
      </c>
      <c r="J543" t="s">
        <v>18</v>
      </c>
      <c r="K543" t="s">
        <v>19</v>
      </c>
    </row>
    <row r="544" spans="1:11">
      <c r="A544" s="1">
        <v>45611</v>
      </c>
      <c r="B544" t="s">
        <v>90</v>
      </c>
      <c r="C544" t="s">
        <v>104</v>
      </c>
      <c r="D544" t="s">
        <v>108</v>
      </c>
      <c r="E544" t="s">
        <v>183</v>
      </c>
      <c r="F544" t="s">
        <v>26</v>
      </c>
      <c r="G544" s="2">
        <v>143.33</v>
      </c>
      <c r="H544" t="s">
        <v>27</v>
      </c>
      <c r="I544" t="s">
        <v>181</v>
      </c>
      <c r="J544" t="s">
        <v>18</v>
      </c>
      <c r="K544" t="s">
        <v>19</v>
      </c>
    </row>
    <row r="545" spans="1:11">
      <c r="A545" s="1">
        <v>45611</v>
      </c>
      <c r="B545" t="s">
        <v>90</v>
      </c>
      <c r="C545" t="s">
        <v>104</v>
      </c>
      <c r="D545" t="s">
        <v>108</v>
      </c>
      <c r="E545" t="s">
        <v>25</v>
      </c>
      <c r="F545" t="s">
        <v>26</v>
      </c>
      <c r="G545" s="2">
        <v>150</v>
      </c>
      <c r="H545" t="s">
        <v>27</v>
      </c>
      <c r="I545" t="s">
        <v>181</v>
      </c>
      <c r="J545" t="s">
        <v>18</v>
      </c>
      <c r="K545" t="s">
        <v>19</v>
      </c>
    </row>
    <row r="546" spans="1:11">
      <c r="A546" s="1">
        <v>45611</v>
      </c>
      <c r="B546" t="s">
        <v>90</v>
      </c>
      <c r="C546" t="s">
        <v>104</v>
      </c>
      <c r="D546" t="s">
        <v>108</v>
      </c>
      <c r="E546" t="s">
        <v>184</v>
      </c>
      <c r="F546" t="s">
        <v>185</v>
      </c>
      <c r="G546" s="2">
        <v>316.67</v>
      </c>
      <c r="H546" t="s">
        <v>27</v>
      </c>
      <c r="I546" t="s">
        <v>181</v>
      </c>
      <c r="J546" t="s">
        <v>18</v>
      </c>
      <c r="K546" t="s">
        <v>19</v>
      </c>
    </row>
    <row r="547" spans="1:11">
      <c r="A547" s="1">
        <v>45611</v>
      </c>
      <c r="B547" t="s">
        <v>90</v>
      </c>
      <c r="C547" t="s">
        <v>104</v>
      </c>
      <c r="D547" t="s">
        <v>108</v>
      </c>
      <c r="E547" t="s">
        <v>186</v>
      </c>
      <c r="F547" t="s">
        <v>26</v>
      </c>
      <c r="G547" s="2">
        <v>150</v>
      </c>
      <c r="H547" t="s">
        <v>27</v>
      </c>
      <c r="I547" t="s">
        <v>181</v>
      </c>
      <c r="J547" t="s">
        <v>18</v>
      </c>
      <c r="K547" t="s">
        <v>19</v>
      </c>
    </row>
    <row r="548" spans="1:11">
      <c r="A548" s="1">
        <v>45611</v>
      </c>
      <c r="B548" t="s">
        <v>90</v>
      </c>
      <c r="C548" t="s">
        <v>104</v>
      </c>
      <c r="D548" t="s">
        <v>109</v>
      </c>
      <c r="E548" t="s">
        <v>180</v>
      </c>
      <c r="F548" t="s">
        <v>26</v>
      </c>
      <c r="G548" s="2">
        <v>75</v>
      </c>
      <c r="H548" t="s">
        <v>27</v>
      </c>
      <c r="I548" t="s">
        <v>181</v>
      </c>
      <c r="J548" t="s">
        <v>18</v>
      </c>
      <c r="K548" t="s">
        <v>19</v>
      </c>
    </row>
    <row r="549" spans="1:11">
      <c r="A549" s="1">
        <v>45611</v>
      </c>
      <c r="B549" t="s">
        <v>90</v>
      </c>
      <c r="C549" t="s">
        <v>104</v>
      </c>
      <c r="D549" t="s">
        <v>109</v>
      </c>
      <c r="E549" t="s">
        <v>183</v>
      </c>
      <c r="F549" t="s">
        <v>26</v>
      </c>
      <c r="G549" s="2">
        <v>165</v>
      </c>
      <c r="H549" t="s">
        <v>27</v>
      </c>
      <c r="I549" t="s">
        <v>181</v>
      </c>
      <c r="J549" t="s">
        <v>18</v>
      </c>
      <c r="K549" t="s">
        <v>19</v>
      </c>
    </row>
    <row r="550" spans="1:11">
      <c r="A550" s="1">
        <v>45611</v>
      </c>
      <c r="B550" t="s">
        <v>90</v>
      </c>
      <c r="C550" t="s">
        <v>104</v>
      </c>
      <c r="D550" t="s">
        <v>109</v>
      </c>
      <c r="E550" t="s">
        <v>25</v>
      </c>
      <c r="F550" t="s">
        <v>26</v>
      </c>
      <c r="G550" s="2">
        <v>155</v>
      </c>
      <c r="H550" t="s">
        <v>27</v>
      </c>
      <c r="I550" t="s">
        <v>181</v>
      </c>
      <c r="J550" t="s">
        <v>18</v>
      </c>
      <c r="K550" t="s">
        <v>19</v>
      </c>
    </row>
    <row r="551" spans="1:11">
      <c r="A551" s="1">
        <v>45611</v>
      </c>
      <c r="B551" t="s">
        <v>90</v>
      </c>
      <c r="C551" t="s">
        <v>104</v>
      </c>
      <c r="D551" t="s">
        <v>109</v>
      </c>
      <c r="E551" t="s">
        <v>184</v>
      </c>
      <c r="F551" t="s">
        <v>185</v>
      </c>
      <c r="G551" s="2">
        <v>325</v>
      </c>
      <c r="H551" t="s">
        <v>27</v>
      </c>
      <c r="I551" t="s">
        <v>181</v>
      </c>
      <c r="J551" t="s">
        <v>18</v>
      </c>
      <c r="K551" t="s">
        <v>19</v>
      </c>
    </row>
    <row r="552" spans="1:11">
      <c r="A552" s="1">
        <v>45611</v>
      </c>
      <c r="B552" t="s">
        <v>90</v>
      </c>
      <c r="C552" t="s">
        <v>104</v>
      </c>
      <c r="D552" t="s">
        <v>109</v>
      </c>
      <c r="E552" t="s">
        <v>186</v>
      </c>
      <c r="F552" t="s">
        <v>26</v>
      </c>
      <c r="G552" s="2">
        <v>165</v>
      </c>
      <c r="H552" t="s">
        <v>27</v>
      </c>
      <c r="I552" t="s">
        <v>181</v>
      </c>
      <c r="J552" t="s">
        <v>18</v>
      </c>
      <c r="K552" t="s">
        <v>19</v>
      </c>
    </row>
    <row r="553" spans="1:11">
      <c r="A553" s="1">
        <v>45611</v>
      </c>
      <c r="B553" t="s">
        <v>90</v>
      </c>
      <c r="C553" t="s">
        <v>104</v>
      </c>
      <c r="D553" t="s">
        <v>113</v>
      </c>
      <c r="E553" t="s">
        <v>180</v>
      </c>
      <c r="F553" t="s">
        <v>26</v>
      </c>
      <c r="G553" s="2">
        <v>78.89</v>
      </c>
      <c r="H553" t="s">
        <v>27</v>
      </c>
      <c r="I553" t="s">
        <v>181</v>
      </c>
      <c r="J553" t="s">
        <v>18</v>
      </c>
      <c r="K553" t="s">
        <v>19</v>
      </c>
    </row>
    <row r="554" spans="1:11">
      <c r="A554" s="1">
        <v>45611</v>
      </c>
      <c r="B554" t="s">
        <v>90</v>
      </c>
      <c r="C554" t="s">
        <v>104</v>
      </c>
      <c r="D554" t="s">
        <v>113</v>
      </c>
      <c r="E554" t="s">
        <v>182</v>
      </c>
      <c r="F554" t="s">
        <v>26</v>
      </c>
      <c r="G554" s="2">
        <v>92</v>
      </c>
      <c r="H554" t="s">
        <v>27</v>
      </c>
      <c r="I554" t="s">
        <v>181</v>
      </c>
      <c r="J554" t="s">
        <v>18</v>
      </c>
      <c r="K554" t="s">
        <v>19</v>
      </c>
    </row>
    <row r="555" spans="1:11">
      <c r="A555" s="1">
        <v>45611</v>
      </c>
      <c r="B555" t="s">
        <v>90</v>
      </c>
      <c r="C555" t="s">
        <v>104</v>
      </c>
      <c r="D555" t="s">
        <v>113</v>
      </c>
      <c r="E555" t="s">
        <v>183</v>
      </c>
      <c r="F555" t="s">
        <v>26</v>
      </c>
      <c r="G555" s="2">
        <v>147.78</v>
      </c>
      <c r="H555" t="s">
        <v>27</v>
      </c>
      <c r="I555" t="s">
        <v>181</v>
      </c>
      <c r="J555" t="s">
        <v>18</v>
      </c>
      <c r="K555" t="s">
        <v>19</v>
      </c>
    </row>
    <row r="556" spans="1:11">
      <c r="A556" s="1">
        <v>45611</v>
      </c>
      <c r="B556" t="s">
        <v>90</v>
      </c>
      <c r="C556" t="s">
        <v>104</v>
      </c>
      <c r="D556" t="s">
        <v>113</v>
      </c>
      <c r="E556" t="s">
        <v>25</v>
      </c>
      <c r="F556" t="s">
        <v>26</v>
      </c>
      <c r="G556" s="2">
        <v>151.11</v>
      </c>
      <c r="H556" t="s">
        <v>27</v>
      </c>
      <c r="I556" t="s">
        <v>181</v>
      </c>
      <c r="J556" t="s">
        <v>18</v>
      </c>
      <c r="K556" t="s">
        <v>19</v>
      </c>
    </row>
    <row r="557" spans="1:11">
      <c r="A557" s="1">
        <v>45611</v>
      </c>
      <c r="B557" t="s">
        <v>90</v>
      </c>
      <c r="C557" t="s">
        <v>104</v>
      </c>
      <c r="D557" t="s">
        <v>113</v>
      </c>
      <c r="E557" t="s">
        <v>184</v>
      </c>
      <c r="F557" t="s">
        <v>185</v>
      </c>
      <c r="G557" s="2">
        <v>292.22</v>
      </c>
      <c r="H557" t="s">
        <v>27</v>
      </c>
      <c r="I557" t="s">
        <v>181</v>
      </c>
      <c r="J557" t="s">
        <v>18</v>
      </c>
      <c r="K557" t="s">
        <v>19</v>
      </c>
    </row>
    <row r="558" spans="1:11">
      <c r="A558" s="1">
        <v>45611</v>
      </c>
      <c r="B558" t="s">
        <v>90</v>
      </c>
      <c r="C558" t="s">
        <v>104</v>
      </c>
      <c r="D558" t="s">
        <v>113</v>
      </c>
      <c r="E558" t="s">
        <v>186</v>
      </c>
      <c r="F558" t="s">
        <v>26</v>
      </c>
      <c r="G558" s="2">
        <v>148.89</v>
      </c>
      <c r="H558" t="s">
        <v>27</v>
      </c>
      <c r="I558" t="s">
        <v>181</v>
      </c>
      <c r="J558" t="s">
        <v>18</v>
      </c>
      <c r="K558" t="s">
        <v>19</v>
      </c>
    </row>
    <row r="559" spans="1:11">
      <c r="A559" s="1">
        <v>45611</v>
      </c>
      <c r="B559" t="s">
        <v>90</v>
      </c>
      <c r="C559" t="s">
        <v>104</v>
      </c>
      <c r="D559" t="s">
        <v>114</v>
      </c>
      <c r="E559" t="s">
        <v>180</v>
      </c>
      <c r="F559" t="s">
        <v>26</v>
      </c>
      <c r="G559" s="2">
        <v>78</v>
      </c>
      <c r="H559" t="s">
        <v>27</v>
      </c>
      <c r="I559" t="s">
        <v>181</v>
      </c>
      <c r="J559" t="s">
        <v>18</v>
      </c>
      <c r="K559" t="s">
        <v>19</v>
      </c>
    </row>
    <row r="560" spans="1:11">
      <c r="A560" s="1">
        <v>45611</v>
      </c>
      <c r="B560" t="s">
        <v>90</v>
      </c>
      <c r="C560" t="s">
        <v>104</v>
      </c>
      <c r="D560" t="s">
        <v>114</v>
      </c>
      <c r="E560" t="s">
        <v>182</v>
      </c>
      <c r="F560" t="s">
        <v>26</v>
      </c>
      <c r="G560" s="2">
        <v>80</v>
      </c>
      <c r="H560" t="s">
        <v>27</v>
      </c>
      <c r="I560" t="s">
        <v>181</v>
      </c>
      <c r="J560" t="s">
        <v>18</v>
      </c>
      <c r="K560" t="s">
        <v>19</v>
      </c>
    </row>
    <row r="561" spans="1:11">
      <c r="A561" s="1">
        <v>45611</v>
      </c>
      <c r="B561" t="s">
        <v>90</v>
      </c>
      <c r="C561" t="s">
        <v>104</v>
      </c>
      <c r="D561" t="s">
        <v>114</v>
      </c>
      <c r="E561" t="s">
        <v>183</v>
      </c>
      <c r="F561" t="s">
        <v>26</v>
      </c>
      <c r="G561" s="2">
        <v>154</v>
      </c>
      <c r="H561" t="s">
        <v>27</v>
      </c>
      <c r="I561" t="s">
        <v>181</v>
      </c>
      <c r="J561" t="s">
        <v>18</v>
      </c>
      <c r="K561" t="s">
        <v>19</v>
      </c>
    </row>
    <row r="562" spans="1:11">
      <c r="A562" s="1">
        <v>45611</v>
      </c>
      <c r="B562" t="s">
        <v>90</v>
      </c>
      <c r="C562" t="s">
        <v>104</v>
      </c>
      <c r="D562" t="s">
        <v>114</v>
      </c>
      <c r="E562" t="s">
        <v>25</v>
      </c>
      <c r="F562" t="s">
        <v>26</v>
      </c>
      <c r="G562" s="2">
        <v>152</v>
      </c>
      <c r="H562" t="s">
        <v>27</v>
      </c>
      <c r="I562" t="s">
        <v>181</v>
      </c>
      <c r="J562" t="s">
        <v>18</v>
      </c>
      <c r="K562" t="s">
        <v>19</v>
      </c>
    </row>
    <row r="563" spans="1:11">
      <c r="A563" s="1">
        <v>45611</v>
      </c>
      <c r="B563" t="s">
        <v>90</v>
      </c>
      <c r="C563" t="s">
        <v>104</v>
      </c>
      <c r="D563" t="s">
        <v>114</v>
      </c>
      <c r="E563" t="s">
        <v>184</v>
      </c>
      <c r="F563" t="s">
        <v>185</v>
      </c>
      <c r="G563" s="2">
        <v>310</v>
      </c>
      <c r="H563" t="s">
        <v>27</v>
      </c>
      <c r="I563" t="s">
        <v>181</v>
      </c>
      <c r="J563" t="s">
        <v>18</v>
      </c>
      <c r="K563" t="s">
        <v>19</v>
      </c>
    </row>
    <row r="564" spans="1:11">
      <c r="A564" s="1">
        <v>45611</v>
      </c>
      <c r="B564" t="s">
        <v>90</v>
      </c>
      <c r="C564" t="s">
        <v>104</v>
      </c>
      <c r="D564" t="s">
        <v>114</v>
      </c>
      <c r="E564" t="s">
        <v>186</v>
      </c>
      <c r="F564" t="s">
        <v>26</v>
      </c>
      <c r="G564" s="2">
        <v>148</v>
      </c>
      <c r="H564" t="s">
        <v>27</v>
      </c>
      <c r="I564" t="s">
        <v>181</v>
      </c>
      <c r="J564" t="s">
        <v>18</v>
      </c>
      <c r="K564" t="s">
        <v>19</v>
      </c>
    </row>
    <row r="565" spans="1:11">
      <c r="A565" s="1">
        <v>45611</v>
      </c>
      <c r="B565" t="s">
        <v>90</v>
      </c>
      <c r="C565" t="s">
        <v>104</v>
      </c>
      <c r="D565" t="s">
        <v>118</v>
      </c>
      <c r="E565" t="s">
        <v>180</v>
      </c>
      <c r="F565" t="s">
        <v>26</v>
      </c>
      <c r="G565" s="2">
        <v>84.29000000000001</v>
      </c>
      <c r="H565" t="s">
        <v>27</v>
      </c>
      <c r="I565" t="s">
        <v>181</v>
      </c>
      <c r="J565" t="s">
        <v>18</v>
      </c>
      <c r="K565" t="s">
        <v>19</v>
      </c>
    </row>
    <row r="566" spans="1:11">
      <c r="A566" s="1">
        <v>45611</v>
      </c>
      <c r="B566" t="s">
        <v>90</v>
      </c>
      <c r="C566" t="s">
        <v>104</v>
      </c>
      <c r="D566" t="s">
        <v>118</v>
      </c>
      <c r="E566" t="s">
        <v>182</v>
      </c>
      <c r="F566" t="s">
        <v>26</v>
      </c>
      <c r="G566" s="2">
        <v>88.33</v>
      </c>
      <c r="H566" t="s">
        <v>27</v>
      </c>
      <c r="I566" t="s">
        <v>181</v>
      </c>
      <c r="J566" t="s">
        <v>18</v>
      </c>
      <c r="K566" t="s">
        <v>19</v>
      </c>
    </row>
    <row r="567" spans="1:11">
      <c r="A567" s="1">
        <v>45611</v>
      </c>
      <c r="B567" t="s">
        <v>90</v>
      </c>
      <c r="C567" t="s">
        <v>104</v>
      </c>
      <c r="D567" t="s">
        <v>118</v>
      </c>
      <c r="E567" t="s">
        <v>183</v>
      </c>
      <c r="F567" t="s">
        <v>26</v>
      </c>
      <c r="G567" s="2">
        <v>150</v>
      </c>
      <c r="H567" t="s">
        <v>27</v>
      </c>
      <c r="I567" t="s">
        <v>181</v>
      </c>
      <c r="J567" t="s">
        <v>18</v>
      </c>
      <c r="K567" t="s">
        <v>19</v>
      </c>
    </row>
    <row r="568" spans="1:11">
      <c r="A568" s="1">
        <v>45611</v>
      </c>
      <c r="B568" t="s">
        <v>90</v>
      </c>
      <c r="C568" t="s">
        <v>104</v>
      </c>
      <c r="D568" t="s">
        <v>118</v>
      </c>
      <c r="E568" t="s">
        <v>25</v>
      </c>
      <c r="F568" t="s">
        <v>26</v>
      </c>
      <c r="G568" s="2">
        <v>147.14</v>
      </c>
      <c r="H568" t="s">
        <v>27</v>
      </c>
      <c r="I568" t="s">
        <v>181</v>
      </c>
      <c r="J568" t="s">
        <v>18</v>
      </c>
      <c r="K568" t="s">
        <v>19</v>
      </c>
    </row>
    <row r="569" spans="1:11">
      <c r="A569" s="1">
        <v>45611</v>
      </c>
      <c r="B569" t="s">
        <v>90</v>
      </c>
      <c r="C569" t="s">
        <v>104</v>
      </c>
      <c r="D569" t="s">
        <v>118</v>
      </c>
      <c r="E569" t="s">
        <v>184</v>
      </c>
      <c r="F569" t="s">
        <v>185</v>
      </c>
      <c r="G569" s="2">
        <v>288.33</v>
      </c>
      <c r="H569" t="s">
        <v>27</v>
      </c>
      <c r="I569" t="s">
        <v>181</v>
      </c>
      <c r="J569" t="s">
        <v>18</v>
      </c>
      <c r="K569" t="s">
        <v>19</v>
      </c>
    </row>
    <row r="570" spans="1:11">
      <c r="A570" s="1">
        <v>45611</v>
      </c>
      <c r="B570" t="s">
        <v>90</v>
      </c>
      <c r="C570" t="s">
        <v>104</v>
      </c>
      <c r="D570" t="s">
        <v>118</v>
      </c>
      <c r="E570" t="s">
        <v>186</v>
      </c>
      <c r="F570" t="s">
        <v>26</v>
      </c>
      <c r="G570" s="2">
        <v>147.14</v>
      </c>
      <c r="H570" t="s">
        <v>27</v>
      </c>
      <c r="I570" t="s">
        <v>181</v>
      </c>
      <c r="J570" t="s">
        <v>18</v>
      </c>
      <c r="K570" t="s">
        <v>19</v>
      </c>
    </row>
    <row r="571" spans="1:11">
      <c r="A571" s="1">
        <v>45611</v>
      </c>
      <c r="B571" t="s">
        <v>90</v>
      </c>
      <c r="C571" t="s">
        <v>104</v>
      </c>
      <c r="D571" t="s">
        <v>119</v>
      </c>
      <c r="E571" t="s">
        <v>180</v>
      </c>
      <c r="F571" t="s">
        <v>26</v>
      </c>
      <c r="G571" s="2">
        <v>73.33</v>
      </c>
      <c r="H571" t="s">
        <v>27</v>
      </c>
      <c r="I571" t="s">
        <v>181</v>
      </c>
      <c r="J571" t="s">
        <v>18</v>
      </c>
      <c r="K571" t="s">
        <v>19</v>
      </c>
    </row>
    <row r="572" spans="1:11">
      <c r="A572" s="1">
        <v>45611</v>
      </c>
      <c r="B572" t="s">
        <v>90</v>
      </c>
      <c r="C572" t="s">
        <v>104</v>
      </c>
      <c r="D572" t="s">
        <v>119</v>
      </c>
      <c r="E572" t="s">
        <v>182</v>
      </c>
      <c r="F572" t="s">
        <v>26</v>
      </c>
      <c r="G572" s="2">
        <v>80</v>
      </c>
      <c r="H572" t="s">
        <v>27</v>
      </c>
      <c r="I572" t="s">
        <v>181</v>
      </c>
      <c r="J572" t="s">
        <v>18</v>
      </c>
      <c r="K572" t="s">
        <v>19</v>
      </c>
    </row>
    <row r="573" spans="1:11">
      <c r="A573" s="1">
        <v>45611</v>
      </c>
      <c r="B573" t="s">
        <v>90</v>
      </c>
      <c r="C573" t="s">
        <v>104</v>
      </c>
      <c r="D573" t="s">
        <v>119</v>
      </c>
      <c r="E573" t="s">
        <v>183</v>
      </c>
      <c r="F573" t="s">
        <v>26</v>
      </c>
      <c r="G573" s="2">
        <v>117.5</v>
      </c>
      <c r="H573" t="s">
        <v>27</v>
      </c>
      <c r="I573" t="s">
        <v>181</v>
      </c>
      <c r="J573" t="s">
        <v>18</v>
      </c>
      <c r="K573" t="s">
        <v>19</v>
      </c>
    </row>
    <row r="574" spans="1:11">
      <c r="A574" s="1">
        <v>45611</v>
      </c>
      <c r="B574" t="s">
        <v>90</v>
      </c>
      <c r="C574" t="s">
        <v>104</v>
      </c>
      <c r="D574" t="s">
        <v>119</v>
      </c>
      <c r="E574" t="s">
        <v>25</v>
      </c>
      <c r="F574" t="s">
        <v>26</v>
      </c>
      <c r="G574" s="2">
        <v>147.5</v>
      </c>
      <c r="H574" t="s">
        <v>27</v>
      </c>
      <c r="I574" t="s">
        <v>181</v>
      </c>
      <c r="J574" t="s">
        <v>18</v>
      </c>
      <c r="K574" t="s">
        <v>19</v>
      </c>
    </row>
    <row r="575" spans="1:11">
      <c r="A575" s="1">
        <v>45611</v>
      </c>
      <c r="B575" t="s">
        <v>90</v>
      </c>
      <c r="C575" t="s">
        <v>104</v>
      </c>
      <c r="D575" t="s">
        <v>119</v>
      </c>
      <c r="E575" t="s">
        <v>184</v>
      </c>
      <c r="F575" t="s">
        <v>185</v>
      </c>
      <c r="G575" s="2">
        <v>285</v>
      </c>
      <c r="H575" t="s">
        <v>27</v>
      </c>
      <c r="I575" t="s">
        <v>181</v>
      </c>
      <c r="J575" t="s">
        <v>18</v>
      </c>
      <c r="K575" t="s">
        <v>19</v>
      </c>
    </row>
    <row r="576" spans="1:11">
      <c r="A576" s="1">
        <v>45611</v>
      </c>
      <c r="B576" t="s">
        <v>90</v>
      </c>
      <c r="C576" t="s">
        <v>104</v>
      </c>
      <c r="D576" t="s">
        <v>119</v>
      </c>
      <c r="E576" t="s">
        <v>186</v>
      </c>
      <c r="F576" t="s">
        <v>26</v>
      </c>
      <c r="G576" s="2">
        <v>146.67</v>
      </c>
      <c r="H576" t="s">
        <v>27</v>
      </c>
      <c r="I576" t="s">
        <v>181</v>
      </c>
      <c r="J576" t="s">
        <v>18</v>
      </c>
      <c r="K576" t="s">
        <v>19</v>
      </c>
    </row>
    <row r="577" spans="1:11">
      <c r="A577" s="1">
        <v>45611</v>
      </c>
      <c r="B577" t="s">
        <v>90</v>
      </c>
      <c r="C577" t="s">
        <v>104</v>
      </c>
      <c r="D577" t="s">
        <v>120</v>
      </c>
      <c r="E577" t="s">
        <v>180</v>
      </c>
      <c r="F577" t="s">
        <v>26</v>
      </c>
      <c r="G577" s="2">
        <v>80</v>
      </c>
      <c r="H577" t="s">
        <v>27</v>
      </c>
      <c r="I577" t="s">
        <v>181</v>
      </c>
      <c r="J577" t="s">
        <v>18</v>
      </c>
      <c r="K577" t="s">
        <v>19</v>
      </c>
    </row>
    <row r="578" spans="1:11">
      <c r="A578" s="1">
        <v>45611</v>
      </c>
      <c r="B578" t="s">
        <v>90</v>
      </c>
      <c r="C578" t="s">
        <v>104</v>
      </c>
      <c r="D578" t="s">
        <v>120</v>
      </c>
      <c r="E578" t="s">
        <v>182</v>
      </c>
      <c r="F578" t="s">
        <v>26</v>
      </c>
      <c r="G578" s="2">
        <v>70</v>
      </c>
      <c r="H578" t="s">
        <v>27</v>
      </c>
      <c r="I578" t="s">
        <v>181</v>
      </c>
      <c r="J578" t="s">
        <v>18</v>
      </c>
      <c r="K578" t="s">
        <v>19</v>
      </c>
    </row>
    <row r="579" spans="1:11">
      <c r="A579" s="1">
        <v>45611</v>
      </c>
      <c r="B579" t="s">
        <v>90</v>
      </c>
      <c r="C579" t="s">
        <v>104</v>
      </c>
      <c r="D579" t="s">
        <v>120</v>
      </c>
      <c r="E579" t="s">
        <v>183</v>
      </c>
      <c r="F579" t="s">
        <v>26</v>
      </c>
      <c r="G579" s="2">
        <v>126.67</v>
      </c>
      <c r="H579" t="s">
        <v>27</v>
      </c>
      <c r="I579" t="s">
        <v>181</v>
      </c>
      <c r="J579" t="s">
        <v>18</v>
      </c>
      <c r="K579" t="s">
        <v>19</v>
      </c>
    </row>
    <row r="580" spans="1:11">
      <c r="A580" s="1">
        <v>45611</v>
      </c>
      <c r="B580" t="s">
        <v>90</v>
      </c>
      <c r="C580" t="s">
        <v>104</v>
      </c>
      <c r="D580" t="s">
        <v>120</v>
      </c>
      <c r="E580" t="s">
        <v>25</v>
      </c>
      <c r="F580" t="s">
        <v>26</v>
      </c>
      <c r="G580" s="2">
        <v>146.67</v>
      </c>
      <c r="H580" t="s">
        <v>27</v>
      </c>
      <c r="I580" t="s">
        <v>181</v>
      </c>
      <c r="J580" t="s">
        <v>18</v>
      </c>
      <c r="K580" t="s">
        <v>19</v>
      </c>
    </row>
    <row r="581" spans="1:11">
      <c r="A581" s="1">
        <v>45611</v>
      </c>
      <c r="B581" t="s">
        <v>90</v>
      </c>
      <c r="C581" t="s">
        <v>104</v>
      </c>
      <c r="D581" t="s">
        <v>120</v>
      </c>
      <c r="E581" t="s">
        <v>184</v>
      </c>
      <c r="F581" t="s">
        <v>185</v>
      </c>
      <c r="G581" s="2">
        <v>293.33</v>
      </c>
      <c r="H581" t="s">
        <v>27</v>
      </c>
      <c r="I581" t="s">
        <v>181</v>
      </c>
      <c r="J581" t="s">
        <v>18</v>
      </c>
      <c r="K581" t="s">
        <v>19</v>
      </c>
    </row>
    <row r="582" spans="1:11">
      <c r="A582" s="1">
        <v>45611</v>
      </c>
      <c r="B582" t="s">
        <v>90</v>
      </c>
      <c r="C582" t="s">
        <v>104</v>
      </c>
      <c r="D582" t="s">
        <v>120</v>
      </c>
      <c r="E582" t="s">
        <v>186</v>
      </c>
      <c r="F582" t="s">
        <v>26</v>
      </c>
      <c r="G582" s="2">
        <v>113.33</v>
      </c>
      <c r="H582" t="s">
        <v>27</v>
      </c>
      <c r="I582" t="s">
        <v>181</v>
      </c>
      <c r="J582" t="s">
        <v>18</v>
      </c>
      <c r="K582" t="s">
        <v>19</v>
      </c>
    </row>
    <row r="583" spans="1:11">
      <c r="A583" s="1">
        <v>45611</v>
      </c>
      <c r="B583" t="s">
        <v>90</v>
      </c>
      <c r="C583" t="s">
        <v>104</v>
      </c>
      <c r="D583" t="s">
        <v>157</v>
      </c>
      <c r="E583" t="s">
        <v>180</v>
      </c>
      <c r="F583" t="s">
        <v>26</v>
      </c>
      <c r="G583" s="2">
        <v>85</v>
      </c>
      <c r="H583" t="s">
        <v>27</v>
      </c>
      <c r="I583" t="s">
        <v>181</v>
      </c>
      <c r="J583" t="s">
        <v>18</v>
      </c>
      <c r="K583" t="s">
        <v>19</v>
      </c>
    </row>
    <row r="584" spans="1:11">
      <c r="A584" s="1">
        <v>45611</v>
      </c>
      <c r="B584" t="s">
        <v>90</v>
      </c>
      <c r="C584" t="s">
        <v>104</v>
      </c>
      <c r="D584" t="s">
        <v>157</v>
      </c>
      <c r="E584" t="s">
        <v>182</v>
      </c>
      <c r="F584" t="s">
        <v>26</v>
      </c>
      <c r="G584" s="2">
        <v>76.25</v>
      </c>
      <c r="H584" t="s">
        <v>27</v>
      </c>
      <c r="I584" t="s">
        <v>181</v>
      </c>
      <c r="J584" t="s">
        <v>18</v>
      </c>
      <c r="K584" t="s">
        <v>19</v>
      </c>
    </row>
    <row r="585" spans="1:11">
      <c r="A585" s="1">
        <v>45611</v>
      </c>
      <c r="B585" t="s">
        <v>90</v>
      </c>
      <c r="C585" t="s">
        <v>104</v>
      </c>
      <c r="D585" t="s">
        <v>157</v>
      </c>
      <c r="E585" t="s">
        <v>183</v>
      </c>
      <c r="F585" t="s">
        <v>26</v>
      </c>
      <c r="G585" s="2">
        <v>165</v>
      </c>
      <c r="H585" t="s">
        <v>27</v>
      </c>
      <c r="I585" t="s">
        <v>181</v>
      </c>
      <c r="J585" t="s">
        <v>18</v>
      </c>
      <c r="K585" t="s">
        <v>19</v>
      </c>
    </row>
    <row r="586" spans="1:11">
      <c r="A586" s="1">
        <v>45611</v>
      </c>
      <c r="B586" t="s">
        <v>90</v>
      </c>
      <c r="C586" t="s">
        <v>104</v>
      </c>
      <c r="D586" t="s">
        <v>157</v>
      </c>
      <c r="E586" t="s">
        <v>25</v>
      </c>
      <c r="F586" t="s">
        <v>26</v>
      </c>
      <c r="G586" s="2">
        <v>162.5</v>
      </c>
      <c r="H586" t="s">
        <v>27</v>
      </c>
      <c r="I586" t="s">
        <v>181</v>
      </c>
      <c r="J586" t="s">
        <v>18</v>
      </c>
      <c r="K586" t="s">
        <v>19</v>
      </c>
    </row>
    <row r="587" spans="1:11">
      <c r="A587" s="1">
        <v>45611</v>
      </c>
      <c r="B587" t="s">
        <v>90</v>
      </c>
      <c r="C587" t="s">
        <v>104</v>
      </c>
      <c r="D587" t="s">
        <v>157</v>
      </c>
      <c r="E587" t="s">
        <v>184</v>
      </c>
      <c r="F587" t="s">
        <v>185</v>
      </c>
      <c r="G587" s="2">
        <v>295</v>
      </c>
      <c r="H587" t="s">
        <v>27</v>
      </c>
      <c r="I587" t="s">
        <v>181</v>
      </c>
      <c r="J587" t="s">
        <v>18</v>
      </c>
      <c r="K587" t="s">
        <v>19</v>
      </c>
    </row>
    <row r="588" spans="1:11">
      <c r="A588" s="1">
        <v>45611</v>
      </c>
      <c r="B588" t="s">
        <v>90</v>
      </c>
      <c r="C588" t="s">
        <v>104</v>
      </c>
      <c r="D588" t="s">
        <v>157</v>
      </c>
      <c r="E588" t="s">
        <v>186</v>
      </c>
      <c r="F588" t="s">
        <v>26</v>
      </c>
      <c r="G588" s="2">
        <v>172.5</v>
      </c>
      <c r="H588" t="s">
        <v>27</v>
      </c>
      <c r="I588" t="s">
        <v>181</v>
      </c>
      <c r="J588" t="s">
        <v>18</v>
      </c>
      <c r="K588" t="s">
        <v>19</v>
      </c>
    </row>
    <row r="589" spans="1:11">
      <c r="A589" s="1">
        <v>45641</v>
      </c>
      <c r="B589" t="s">
        <v>63</v>
      </c>
      <c r="C589" t="s">
        <v>64</v>
      </c>
      <c r="D589" t="s">
        <v>68</v>
      </c>
      <c r="E589" t="s">
        <v>180</v>
      </c>
      <c r="F589" t="s">
        <v>26</v>
      </c>
      <c r="G589" s="2">
        <v>100.66</v>
      </c>
      <c r="H589" t="s">
        <v>27</v>
      </c>
      <c r="I589" t="s">
        <v>181</v>
      </c>
      <c r="J589" t="s">
        <v>18</v>
      </c>
      <c r="K589" t="s">
        <v>19</v>
      </c>
    </row>
    <row r="590" spans="1:11">
      <c r="A590" s="1">
        <v>45641</v>
      </c>
      <c r="B590" t="s">
        <v>63</v>
      </c>
      <c r="C590" t="s">
        <v>64</v>
      </c>
      <c r="D590" t="s">
        <v>68</v>
      </c>
      <c r="E590" t="s">
        <v>182</v>
      </c>
      <c r="F590" t="s">
        <v>26</v>
      </c>
      <c r="G590" s="2">
        <v>67.17</v>
      </c>
      <c r="H590" t="s">
        <v>27</v>
      </c>
      <c r="I590" t="s">
        <v>181</v>
      </c>
      <c r="J590" t="s">
        <v>18</v>
      </c>
      <c r="K590" t="s">
        <v>19</v>
      </c>
    </row>
    <row r="591" spans="1:11">
      <c r="A591" s="1">
        <v>45641</v>
      </c>
      <c r="B591" t="s">
        <v>63</v>
      </c>
      <c r="C591" t="s">
        <v>64</v>
      </c>
      <c r="D591" t="s">
        <v>68</v>
      </c>
      <c r="E591" t="s">
        <v>183</v>
      </c>
      <c r="F591" t="s">
        <v>26</v>
      </c>
      <c r="G591" s="2">
        <v>114.38</v>
      </c>
      <c r="H591" t="s">
        <v>27</v>
      </c>
      <c r="I591" t="s">
        <v>181</v>
      </c>
      <c r="J591" t="s">
        <v>18</v>
      </c>
      <c r="K591" t="s">
        <v>19</v>
      </c>
    </row>
    <row r="592" spans="1:11">
      <c r="A592" s="1">
        <v>45641</v>
      </c>
      <c r="B592" t="s">
        <v>63</v>
      </c>
      <c r="C592" t="s">
        <v>64</v>
      </c>
      <c r="D592" t="s">
        <v>68</v>
      </c>
      <c r="E592" t="s">
        <v>184</v>
      </c>
      <c r="F592" t="s">
        <v>185</v>
      </c>
      <c r="G592" s="2">
        <v>265.69</v>
      </c>
      <c r="H592" t="s">
        <v>27</v>
      </c>
      <c r="I592" t="s">
        <v>181</v>
      </c>
      <c r="J592" t="s">
        <v>18</v>
      </c>
      <c r="K592" t="s">
        <v>19</v>
      </c>
    </row>
    <row r="593" spans="1:11">
      <c r="A593" s="1">
        <v>45641</v>
      </c>
      <c r="B593" t="s">
        <v>63</v>
      </c>
      <c r="C593" t="s">
        <v>64</v>
      </c>
      <c r="D593" t="s">
        <v>68</v>
      </c>
      <c r="E593" t="s">
        <v>186</v>
      </c>
      <c r="F593" t="s">
        <v>26</v>
      </c>
      <c r="G593" s="2">
        <v>125.56</v>
      </c>
      <c r="H593" t="s">
        <v>27</v>
      </c>
      <c r="I593" t="s">
        <v>181</v>
      </c>
      <c r="J593" t="s">
        <v>18</v>
      </c>
      <c r="K593" t="s">
        <v>19</v>
      </c>
    </row>
    <row r="594" spans="1:11">
      <c r="A594" s="1">
        <v>45641</v>
      </c>
      <c r="B594" t="s">
        <v>63</v>
      </c>
      <c r="C594" t="s">
        <v>64</v>
      </c>
      <c r="D594" t="s">
        <v>71</v>
      </c>
      <c r="E594" t="s">
        <v>180</v>
      </c>
      <c r="F594" t="s">
        <v>26</v>
      </c>
      <c r="G594" s="2">
        <v>95.62</v>
      </c>
      <c r="H594" t="s">
        <v>27</v>
      </c>
      <c r="I594" t="s">
        <v>181</v>
      </c>
      <c r="J594" t="s">
        <v>18</v>
      </c>
      <c r="K594" t="s">
        <v>19</v>
      </c>
    </row>
    <row r="595" spans="1:11">
      <c r="A595" s="1">
        <v>45641</v>
      </c>
      <c r="B595" t="s">
        <v>63</v>
      </c>
      <c r="C595" t="s">
        <v>64</v>
      </c>
      <c r="D595" t="s">
        <v>71</v>
      </c>
      <c r="E595" t="s">
        <v>182</v>
      </c>
      <c r="F595" t="s">
        <v>26</v>
      </c>
      <c r="G595" s="2">
        <v>67.54000000000001</v>
      </c>
      <c r="H595" t="s">
        <v>27</v>
      </c>
      <c r="I595" t="s">
        <v>181</v>
      </c>
      <c r="J595" t="s">
        <v>18</v>
      </c>
      <c r="K595" t="s">
        <v>19</v>
      </c>
    </row>
    <row r="596" spans="1:11">
      <c r="A596" s="1">
        <v>45641</v>
      </c>
      <c r="B596" t="s">
        <v>63</v>
      </c>
      <c r="C596" t="s">
        <v>64</v>
      </c>
      <c r="D596" t="s">
        <v>71</v>
      </c>
      <c r="E596" t="s">
        <v>183</v>
      </c>
      <c r="F596" t="s">
        <v>26</v>
      </c>
      <c r="G596" s="2">
        <v>100.61</v>
      </c>
      <c r="H596" t="s">
        <v>27</v>
      </c>
      <c r="I596" t="s">
        <v>181</v>
      </c>
      <c r="J596" t="s">
        <v>18</v>
      </c>
      <c r="K596" t="s">
        <v>19</v>
      </c>
    </row>
    <row r="597" spans="1:11">
      <c r="A597" s="1">
        <v>45641</v>
      </c>
      <c r="B597" t="s">
        <v>63</v>
      </c>
      <c r="C597" t="s">
        <v>64</v>
      </c>
      <c r="D597" t="s">
        <v>71</v>
      </c>
      <c r="E597" t="s">
        <v>184</v>
      </c>
      <c r="F597" t="s">
        <v>185</v>
      </c>
      <c r="G597" s="2">
        <v>268.59</v>
      </c>
      <c r="H597" t="s">
        <v>27</v>
      </c>
      <c r="I597" t="s">
        <v>181</v>
      </c>
      <c r="J597" t="s">
        <v>18</v>
      </c>
      <c r="K597" t="s">
        <v>19</v>
      </c>
    </row>
    <row r="598" spans="1:11">
      <c r="A598" s="1">
        <v>45641</v>
      </c>
      <c r="B598" t="s">
        <v>63</v>
      </c>
      <c r="C598" t="s">
        <v>64</v>
      </c>
      <c r="D598" t="s">
        <v>71</v>
      </c>
      <c r="E598" t="s">
        <v>186</v>
      </c>
      <c r="F598" t="s">
        <v>26</v>
      </c>
      <c r="G598" s="2">
        <v>123.44</v>
      </c>
      <c r="H598" t="s">
        <v>27</v>
      </c>
      <c r="I598" t="s">
        <v>181</v>
      </c>
      <c r="J598" t="s">
        <v>18</v>
      </c>
      <c r="K598" t="s">
        <v>19</v>
      </c>
    </row>
    <row r="599" spans="1:11">
      <c r="A599" s="1">
        <v>45641</v>
      </c>
      <c r="B599" t="s">
        <v>63</v>
      </c>
      <c r="C599" t="s">
        <v>64</v>
      </c>
      <c r="D599" t="s">
        <v>72</v>
      </c>
      <c r="E599" t="s">
        <v>180</v>
      </c>
      <c r="F599" t="s">
        <v>26</v>
      </c>
      <c r="G599" s="2">
        <v>99.77</v>
      </c>
      <c r="H599" t="s">
        <v>27</v>
      </c>
      <c r="I599" t="s">
        <v>181</v>
      </c>
      <c r="J599" t="s">
        <v>18</v>
      </c>
      <c r="K599" t="s">
        <v>19</v>
      </c>
    </row>
    <row r="600" spans="1:11">
      <c r="A600" s="1">
        <v>45641</v>
      </c>
      <c r="B600" t="s">
        <v>63</v>
      </c>
      <c r="C600" t="s">
        <v>64</v>
      </c>
      <c r="D600" t="s">
        <v>72</v>
      </c>
      <c r="E600" t="s">
        <v>182</v>
      </c>
      <c r="F600" t="s">
        <v>26</v>
      </c>
      <c r="G600" s="2">
        <v>65.70999999999999</v>
      </c>
      <c r="H600" t="s">
        <v>27</v>
      </c>
      <c r="I600" t="s">
        <v>181</v>
      </c>
      <c r="J600" t="s">
        <v>18</v>
      </c>
      <c r="K600" t="s">
        <v>19</v>
      </c>
    </row>
    <row r="601" spans="1:11">
      <c r="A601" s="1">
        <v>45641</v>
      </c>
      <c r="B601" t="s">
        <v>63</v>
      </c>
      <c r="C601" t="s">
        <v>64</v>
      </c>
      <c r="D601" t="s">
        <v>72</v>
      </c>
      <c r="E601" t="s">
        <v>183</v>
      </c>
      <c r="F601" t="s">
        <v>26</v>
      </c>
      <c r="G601" s="2">
        <v>121</v>
      </c>
      <c r="H601" t="s">
        <v>27</v>
      </c>
      <c r="I601" t="s">
        <v>181</v>
      </c>
      <c r="J601" t="s">
        <v>18</v>
      </c>
      <c r="K601" t="s">
        <v>19</v>
      </c>
    </row>
    <row r="602" spans="1:11">
      <c r="A602" s="1">
        <v>45641</v>
      </c>
      <c r="B602" t="s">
        <v>63</v>
      </c>
      <c r="C602" t="s">
        <v>64</v>
      </c>
      <c r="D602" t="s">
        <v>72</v>
      </c>
      <c r="E602" t="s">
        <v>184</v>
      </c>
      <c r="F602" t="s">
        <v>185</v>
      </c>
      <c r="G602" s="2">
        <v>263.65</v>
      </c>
      <c r="H602" t="s">
        <v>27</v>
      </c>
      <c r="I602" t="s">
        <v>181</v>
      </c>
      <c r="J602" t="s">
        <v>18</v>
      </c>
      <c r="K602" t="s">
        <v>19</v>
      </c>
    </row>
    <row r="603" spans="1:11">
      <c r="A603" s="1">
        <v>45641</v>
      </c>
      <c r="B603" t="s">
        <v>63</v>
      </c>
      <c r="C603" t="s">
        <v>64</v>
      </c>
      <c r="D603" t="s">
        <v>72</v>
      </c>
      <c r="E603" t="s">
        <v>186</v>
      </c>
      <c r="F603" t="s">
        <v>26</v>
      </c>
      <c r="G603" s="2">
        <v>121.9</v>
      </c>
      <c r="H603" t="s">
        <v>27</v>
      </c>
      <c r="I603" t="s">
        <v>181</v>
      </c>
      <c r="J603" t="s">
        <v>18</v>
      </c>
      <c r="K603" t="s">
        <v>19</v>
      </c>
    </row>
    <row r="604" spans="1:11">
      <c r="A604" s="1">
        <v>45641</v>
      </c>
      <c r="B604" t="s">
        <v>90</v>
      </c>
      <c r="C604" t="s">
        <v>104</v>
      </c>
      <c r="D604" t="s">
        <v>108</v>
      </c>
      <c r="E604" t="s">
        <v>180</v>
      </c>
      <c r="F604" t="s">
        <v>26</v>
      </c>
      <c r="G604" s="2">
        <v>75</v>
      </c>
      <c r="H604" t="s">
        <v>27</v>
      </c>
      <c r="I604" t="s">
        <v>181</v>
      </c>
      <c r="J604" t="s">
        <v>18</v>
      </c>
      <c r="K604" t="s">
        <v>19</v>
      </c>
    </row>
    <row r="605" spans="1:11">
      <c r="A605" s="1">
        <v>45641</v>
      </c>
      <c r="B605" t="s">
        <v>90</v>
      </c>
      <c r="C605" t="s">
        <v>104</v>
      </c>
      <c r="D605" t="s">
        <v>108</v>
      </c>
      <c r="E605" t="s">
        <v>182</v>
      </c>
      <c r="F605" t="s">
        <v>26</v>
      </c>
      <c r="G605" s="2">
        <v>80</v>
      </c>
      <c r="H605" t="s">
        <v>27</v>
      </c>
      <c r="I605" t="s">
        <v>181</v>
      </c>
      <c r="J605" t="s">
        <v>18</v>
      </c>
      <c r="K605" t="s">
        <v>19</v>
      </c>
    </row>
    <row r="606" spans="1:11">
      <c r="A606" s="1">
        <v>45641</v>
      </c>
      <c r="B606" t="s">
        <v>90</v>
      </c>
      <c r="C606" t="s">
        <v>104</v>
      </c>
      <c r="D606" t="s">
        <v>108</v>
      </c>
      <c r="E606" t="s">
        <v>183</v>
      </c>
      <c r="F606" t="s">
        <v>26</v>
      </c>
      <c r="G606" s="2">
        <v>90</v>
      </c>
      <c r="H606" t="s">
        <v>27</v>
      </c>
      <c r="I606" t="s">
        <v>181</v>
      </c>
      <c r="J606" t="s">
        <v>18</v>
      </c>
      <c r="K606" t="s">
        <v>19</v>
      </c>
    </row>
    <row r="607" spans="1:11">
      <c r="A607" s="1">
        <v>45641</v>
      </c>
      <c r="B607" t="s">
        <v>90</v>
      </c>
      <c r="C607" t="s">
        <v>104</v>
      </c>
      <c r="D607" t="s">
        <v>108</v>
      </c>
      <c r="E607" t="s">
        <v>184</v>
      </c>
      <c r="F607" t="s">
        <v>185</v>
      </c>
      <c r="G607" s="2">
        <v>300</v>
      </c>
      <c r="H607" t="s">
        <v>27</v>
      </c>
      <c r="I607" t="s">
        <v>181</v>
      </c>
      <c r="J607" t="s">
        <v>18</v>
      </c>
      <c r="K607" t="s">
        <v>19</v>
      </c>
    </row>
    <row r="608" spans="1:11">
      <c r="A608" s="1">
        <v>45641</v>
      </c>
      <c r="B608" t="s">
        <v>90</v>
      </c>
      <c r="C608" t="s">
        <v>104</v>
      </c>
      <c r="D608" t="s">
        <v>108</v>
      </c>
      <c r="E608" t="s">
        <v>186</v>
      </c>
      <c r="F608" t="s">
        <v>26</v>
      </c>
      <c r="G608" s="2">
        <v>150</v>
      </c>
      <c r="H608" t="s">
        <v>27</v>
      </c>
      <c r="I608" t="s">
        <v>181</v>
      </c>
      <c r="J608" t="s">
        <v>18</v>
      </c>
      <c r="K608" t="s">
        <v>19</v>
      </c>
    </row>
    <row r="609" spans="1:11">
      <c r="A609" s="1">
        <v>45641</v>
      </c>
      <c r="B609" t="s">
        <v>90</v>
      </c>
      <c r="C609" t="s">
        <v>104</v>
      </c>
      <c r="D609" t="s">
        <v>109</v>
      </c>
      <c r="E609" t="s">
        <v>180</v>
      </c>
      <c r="F609" t="s">
        <v>26</v>
      </c>
      <c r="G609" s="2">
        <v>79.38</v>
      </c>
      <c r="H609" t="s">
        <v>27</v>
      </c>
      <c r="I609" t="s">
        <v>181</v>
      </c>
      <c r="J609" t="s">
        <v>18</v>
      </c>
      <c r="K609" t="s">
        <v>19</v>
      </c>
    </row>
    <row r="610" spans="1:11">
      <c r="A610" s="1">
        <v>45641</v>
      </c>
      <c r="B610" t="s">
        <v>90</v>
      </c>
      <c r="C610" t="s">
        <v>104</v>
      </c>
      <c r="D610" t="s">
        <v>109</v>
      </c>
      <c r="E610" t="s">
        <v>182</v>
      </c>
      <c r="F610" t="s">
        <v>26</v>
      </c>
      <c r="G610" s="2">
        <v>80</v>
      </c>
      <c r="H610" t="s">
        <v>27</v>
      </c>
      <c r="I610" t="s">
        <v>181</v>
      </c>
      <c r="J610" t="s">
        <v>18</v>
      </c>
      <c r="K610" t="s">
        <v>19</v>
      </c>
    </row>
    <row r="611" spans="1:11">
      <c r="A611" s="1">
        <v>45641</v>
      </c>
      <c r="B611" t="s">
        <v>90</v>
      </c>
      <c r="C611" t="s">
        <v>104</v>
      </c>
      <c r="D611" t="s">
        <v>109</v>
      </c>
      <c r="E611" t="s">
        <v>183</v>
      </c>
      <c r="F611" t="s">
        <v>26</v>
      </c>
      <c r="G611" s="2">
        <v>154.79</v>
      </c>
      <c r="H611" t="s">
        <v>27</v>
      </c>
      <c r="I611" t="s">
        <v>181</v>
      </c>
      <c r="J611" t="s">
        <v>18</v>
      </c>
      <c r="K611" t="s">
        <v>19</v>
      </c>
    </row>
    <row r="612" spans="1:11">
      <c r="A612" s="1">
        <v>45641</v>
      </c>
      <c r="B612" t="s">
        <v>90</v>
      </c>
      <c r="C612" t="s">
        <v>104</v>
      </c>
      <c r="D612" t="s">
        <v>109</v>
      </c>
      <c r="E612" t="s">
        <v>184</v>
      </c>
      <c r="F612" t="s">
        <v>185</v>
      </c>
      <c r="G612" s="2">
        <v>303.12</v>
      </c>
      <c r="H612" t="s">
        <v>27</v>
      </c>
      <c r="I612" t="s">
        <v>181</v>
      </c>
      <c r="J612" t="s">
        <v>18</v>
      </c>
      <c r="K612" t="s">
        <v>19</v>
      </c>
    </row>
    <row r="613" spans="1:11">
      <c r="A613" s="1">
        <v>45641</v>
      </c>
      <c r="B613" t="s">
        <v>90</v>
      </c>
      <c r="C613" t="s">
        <v>104</v>
      </c>
      <c r="D613" t="s">
        <v>109</v>
      </c>
      <c r="E613" t="s">
        <v>186</v>
      </c>
      <c r="F613" t="s">
        <v>26</v>
      </c>
      <c r="G613" s="2">
        <v>154.79</v>
      </c>
      <c r="H613" t="s">
        <v>27</v>
      </c>
      <c r="I613" t="s">
        <v>181</v>
      </c>
      <c r="J613" t="s">
        <v>18</v>
      </c>
      <c r="K613" t="s">
        <v>19</v>
      </c>
    </row>
    <row r="614" spans="1:11">
      <c r="A614" s="1">
        <v>45641</v>
      </c>
      <c r="B614" t="s">
        <v>90</v>
      </c>
      <c r="C614" t="s">
        <v>104</v>
      </c>
      <c r="D614" t="s">
        <v>112</v>
      </c>
      <c r="E614" t="s">
        <v>180</v>
      </c>
      <c r="F614" t="s">
        <v>26</v>
      </c>
      <c r="G614" s="2">
        <v>80</v>
      </c>
      <c r="H614" t="s">
        <v>27</v>
      </c>
      <c r="I614" t="s">
        <v>181</v>
      </c>
      <c r="J614" t="s">
        <v>18</v>
      </c>
      <c r="K614" t="s">
        <v>19</v>
      </c>
    </row>
    <row r="615" spans="1:11">
      <c r="A615" s="1">
        <v>45641</v>
      </c>
      <c r="B615" t="s">
        <v>90</v>
      </c>
      <c r="C615" t="s">
        <v>104</v>
      </c>
      <c r="D615" t="s">
        <v>112</v>
      </c>
      <c r="E615" t="s">
        <v>182</v>
      </c>
      <c r="F615" t="s">
        <v>26</v>
      </c>
      <c r="G615" s="2">
        <v>70</v>
      </c>
      <c r="H615" t="s">
        <v>27</v>
      </c>
      <c r="I615" t="s">
        <v>181</v>
      </c>
      <c r="J615" t="s">
        <v>18</v>
      </c>
      <c r="K615" t="s">
        <v>19</v>
      </c>
    </row>
    <row r="616" spans="1:11">
      <c r="A616" s="1">
        <v>45641</v>
      </c>
      <c r="B616" t="s">
        <v>90</v>
      </c>
      <c r="C616" t="s">
        <v>104</v>
      </c>
      <c r="D616" t="s">
        <v>112</v>
      </c>
      <c r="E616" t="s">
        <v>183</v>
      </c>
      <c r="F616" t="s">
        <v>26</v>
      </c>
      <c r="G616" s="2">
        <v>150</v>
      </c>
      <c r="H616" t="s">
        <v>27</v>
      </c>
      <c r="I616" t="s">
        <v>181</v>
      </c>
      <c r="J616" t="s">
        <v>18</v>
      </c>
      <c r="K616" t="s">
        <v>19</v>
      </c>
    </row>
    <row r="617" spans="1:11">
      <c r="A617" s="1">
        <v>45641</v>
      </c>
      <c r="B617" t="s">
        <v>90</v>
      </c>
      <c r="C617" t="s">
        <v>104</v>
      </c>
      <c r="D617" t="s">
        <v>112</v>
      </c>
      <c r="E617" t="s">
        <v>184</v>
      </c>
      <c r="F617" t="s">
        <v>185</v>
      </c>
      <c r="G617" s="2">
        <v>250</v>
      </c>
      <c r="H617" t="s">
        <v>27</v>
      </c>
      <c r="I617" t="s">
        <v>181</v>
      </c>
      <c r="J617" t="s">
        <v>18</v>
      </c>
      <c r="K617" t="s">
        <v>19</v>
      </c>
    </row>
    <row r="618" spans="1:11">
      <c r="A618" s="1">
        <v>45641</v>
      </c>
      <c r="B618" t="s">
        <v>90</v>
      </c>
      <c r="C618" t="s">
        <v>104</v>
      </c>
      <c r="D618" t="s">
        <v>112</v>
      </c>
      <c r="E618" t="s">
        <v>186</v>
      </c>
      <c r="F618" t="s">
        <v>26</v>
      </c>
      <c r="G618" s="2">
        <v>150</v>
      </c>
      <c r="H618" t="s">
        <v>27</v>
      </c>
      <c r="I618" t="s">
        <v>181</v>
      </c>
      <c r="J618" t="s">
        <v>18</v>
      </c>
      <c r="K618" t="s">
        <v>19</v>
      </c>
    </row>
    <row r="619" spans="1:11">
      <c r="A619" s="1">
        <v>45641</v>
      </c>
      <c r="B619" t="s">
        <v>90</v>
      </c>
      <c r="C619" t="s">
        <v>104</v>
      </c>
      <c r="D619" t="s">
        <v>113</v>
      </c>
      <c r="E619" t="s">
        <v>180</v>
      </c>
      <c r="F619" t="s">
        <v>26</v>
      </c>
      <c r="G619" s="2">
        <v>80</v>
      </c>
      <c r="H619" t="s">
        <v>27</v>
      </c>
      <c r="I619" t="s">
        <v>181</v>
      </c>
      <c r="J619" t="s">
        <v>18</v>
      </c>
      <c r="K619" t="s">
        <v>19</v>
      </c>
    </row>
    <row r="620" spans="1:11">
      <c r="A620" s="1">
        <v>45641</v>
      </c>
      <c r="B620" t="s">
        <v>90</v>
      </c>
      <c r="C620" t="s">
        <v>104</v>
      </c>
      <c r="D620" t="s">
        <v>113</v>
      </c>
      <c r="E620" t="s">
        <v>182</v>
      </c>
      <c r="F620" t="s">
        <v>26</v>
      </c>
      <c r="G620" s="2">
        <v>80</v>
      </c>
      <c r="H620" t="s">
        <v>27</v>
      </c>
      <c r="I620" t="s">
        <v>181</v>
      </c>
      <c r="J620" t="s">
        <v>18</v>
      </c>
      <c r="K620" t="s">
        <v>19</v>
      </c>
    </row>
    <row r="621" spans="1:11">
      <c r="A621" s="1">
        <v>45641</v>
      </c>
      <c r="B621" t="s">
        <v>90</v>
      </c>
      <c r="C621" t="s">
        <v>104</v>
      </c>
      <c r="D621" t="s">
        <v>113</v>
      </c>
      <c r="E621" t="s">
        <v>183</v>
      </c>
      <c r="F621" t="s">
        <v>26</v>
      </c>
      <c r="G621" s="2">
        <v>126.67</v>
      </c>
      <c r="H621" t="s">
        <v>27</v>
      </c>
      <c r="I621" t="s">
        <v>181</v>
      </c>
      <c r="J621" t="s">
        <v>18</v>
      </c>
      <c r="K621" t="s">
        <v>19</v>
      </c>
    </row>
    <row r="622" spans="1:11">
      <c r="A622" s="1">
        <v>45641</v>
      </c>
      <c r="B622" t="s">
        <v>90</v>
      </c>
      <c r="C622" t="s">
        <v>104</v>
      </c>
      <c r="D622" t="s">
        <v>113</v>
      </c>
      <c r="E622" t="s">
        <v>184</v>
      </c>
      <c r="F622" t="s">
        <v>185</v>
      </c>
      <c r="G622" s="2">
        <v>276.67</v>
      </c>
      <c r="H622" t="s">
        <v>27</v>
      </c>
      <c r="I622" t="s">
        <v>181</v>
      </c>
      <c r="J622" t="s">
        <v>18</v>
      </c>
      <c r="K622" t="s">
        <v>19</v>
      </c>
    </row>
    <row r="623" spans="1:11">
      <c r="A623" s="1">
        <v>45641</v>
      </c>
      <c r="B623" t="s">
        <v>90</v>
      </c>
      <c r="C623" t="s">
        <v>104</v>
      </c>
      <c r="D623" t="s">
        <v>113</v>
      </c>
      <c r="E623" t="s">
        <v>186</v>
      </c>
      <c r="F623" t="s">
        <v>26</v>
      </c>
      <c r="G623" s="2">
        <v>120</v>
      </c>
      <c r="H623" t="s">
        <v>27</v>
      </c>
      <c r="I623" t="s">
        <v>181</v>
      </c>
      <c r="J623" t="s">
        <v>18</v>
      </c>
      <c r="K623" t="s">
        <v>19</v>
      </c>
    </row>
    <row r="624" spans="1:11">
      <c r="A624" s="1">
        <v>45641</v>
      </c>
      <c r="B624" t="s">
        <v>90</v>
      </c>
      <c r="C624" t="s">
        <v>104</v>
      </c>
      <c r="D624" t="s">
        <v>114</v>
      </c>
      <c r="E624" t="s">
        <v>180</v>
      </c>
      <c r="F624" t="s">
        <v>26</v>
      </c>
      <c r="G624" s="2">
        <v>76.67</v>
      </c>
      <c r="H624" t="s">
        <v>27</v>
      </c>
      <c r="I624" t="s">
        <v>181</v>
      </c>
      <c r="J624" t="s">
        <v>18</v>
      </c>
      <c r="K624" t="s">
        <v>19</v>
      </c>
    </row>
    <row r="625" spans="1:11">
      <c r="A625" s="1">
        <v>45641</v>
      </c>
      <c r="B625" t="s">
        <v>90</v>
      </c>
      <c r="C625" t="s">
        <v>104</v>
      </c>
      <c r="D625" t="s">
        <v>114</v>
      </c>
      <c r="E625" t="s">
        <v>182</v>
      </c>
      <c r="F625" t="s">
        <v>26</v>
      </c>
      <c r="G625" s="2">
        <v>83.33</v>
      </c>
      <c r="H625" t="s">
        <v>27</v>
      </c>
      <c r="I625" t="s">
        <v>181</v>
      </c>
      <c r="J625" t="s">
        <v>18</v>
      </c>
      <c r="K625" t="s">
        <v>19</v>
      </c>
    </row>
    <row r="626" spans="1:11">
      <c r="A626" s="1">
        <v>45641</v>
      </c>
      <c r="B626" t="s">
        <v>90</v>
      </c>
      <c r="C626" t="s">
        <v>104</v>
      </c>
      <c r="D626" t="s">
        <v>114</v>
      </c>
      <c r="E626" t="s">
        <v>183</v>
      </c>
      <c r="F626" t="s">
        <v>26</v>
      </c>
      <c r="G626" s="2">
        <v>116.67</v>
      </c>
      <c r="H626" t="s">
        <v>27</v>
      </c>
      <c r="I626" t="s">
        <v>181</v>
      </c>
      <c r="J626" t="s">
        <v>18</v>
      </c>
      <c r="K626" t="s">
        <v>19</v>
      </c>
    </row>
    <row r="627" spans="1:11">
      <c r="A627" s="1">
        <v>45641</v>
      </c>
      <c r="B627" t="s">
        <v>90</v>
      </c>
      <c r="C627" t="s">
        <v>104</v>
      </c>
      <c r="D627" t="s">
        <v>114</v>
      </c>
      <c r="E627" t="s">
        <v>184</v>
      </c>
      <c r="F627" t="s">
        <v>185</v>
      </c>
      <c r="G627" s="2">
        <v>300</v>
      </c>
      <c r="H627" t="s">
        <v>27</v>
      </c>
      <c r="I627" t="s">
        <v>181</v>
      </c>
      <c r="J627" t="s">
        <v>18</v>
      </c>
      <c r="K627" t="s">
        <v>19</v>
      </c>
    </row>
    <row r="628" spans="1:11">
      <c r="A628" s="1">
        <v>45641</v>
      </c>
      <c r="B628" t="s">
        <v>90</v>
      </c>
      <c r="C628" t="s">
        <v>104</v>
      </c>
      <c r="D628" t="s">
        <v>114</v>
      </c>
      <c r="E628" t="s">
        <v>186</v>
      </c>
      <c r="F628" t="s">
        <v>26</v>
      </c>
      <c r="G628" s="2">
        <v>146.67</v>
      </c>
      <c r="H628" t="s">
        <v>27</v>
      </c>
      <c r="I628" t="s">
        <v>181</v>
      </c>
      <c r="J628" t="s">
        <v>18</v>
      </c>
      <c r="K628" t="s">
        <v>19</v>
      </c>
    </row>
    <row r="629" spans="1:11">
      <c r="A629" s="1">
        <v>45641</v>
      </c>
      <c r="B629" t="s">
        <v>90</v>
      </c>
      <c r="C629" t="s">
        <v>104</v>
      </c>
      <c r="D629" t="s">
        <v>118</v>
      </c>
      <c r="E629" t="s">
        <v>180</v>
      </c>
      <c r="F629" t="s">
        <v>26</v>
      </c>
      <c r="G629" s="2">
        <v>76.25</v>
      </c>
      <c r="H629" t="s">
        <v>27</v>
      </c>
      <c r="I629" t="s">
        <v>181</v>
      </c>
      <c r="J629" t="s">
        <v>18</v>
      </c>
      <c r="K629" t="s">
        <v>19</v>
      </c>
    </row>
    <row r="630" spans="1:11">
      <c r="A630" s="1">
        <v>45641</v>
      </c>
      <c r="B630" t="s">
        <v>90</v>
      </c>
      <c r="C630" t="s">
        <v>104</v>
      </c>
      <c r="D630" t="s">
        <v>118</v>
      </c>
      <c r="E630" t="s">
        <v>182</v>
      </c>
      <c r="F630" t="s">
        <v>26</v>
      </c>
      <c r="G630" s="2">
        <v>85</v>
      </c>
      <c r="H630" t="s">
        <v>27</v>
      </c>
      <c r="I630" t="s">
        <v>181</v>
      </c>
      <c r="J630" t="s">
        <v>18</v>
      </c>
      <c r="K630" t="s">
        <v>19</v>
      </c>
    </row>
    <row r="631" spans="1:11">
      <c r="A631" s="1">
        <v>45641</v>
      </c>
      <c r="B631" t="s">
        <v>90</v>
      </c>
      <c r="C631" t="s">
        <v>104</v>
      </c>
      <c r="D631" t="s">
        <v>118</v>
      </c>
      <c r="E631" t="s">
        <v>183</v>
      </c>
      <c r="F631" t="s">
        <v>26</v>
      </c>
      <c r="G631" s="2">
        <v>107.5</v>
      </c>
      <c r="H631" t="s">
        <v>27</v>
      </c>
      <c r="I631" t="s">
        <v>181</v>
      </c>
      <c r="J631" t="s">
        <v>18</v>
      </c>
      <c r="K631" t="s">
        <v>19</v>
      </c>
    </row>
    <row r="632" spans="1:11">
      <c r="A632" s="1">
        <v>45641</v>
      </c>
      <c r="B632" t="s">
        <v>90</v>
      </c>
      <c r="C632" t="s">
        <v>104</v>
      </c>
      <c r="D632" t="s">
        <v>118</v>
      </c>
      <c r="E632" t="s">
        <v>184</v>
      </c>
      <c r="F632" t="s">
        <v>185</v>
      </c>
      <c r="G632" s="2">
        <v>287.5</v>
      </c>
      <c r="H632" t="s">
        <v>27</v>
      </c>
      <c r="I632" t="s">
        <v>181</v>
      </c>
      <c r="J632" t="s">
        <v>18</v>
      </c>
      <c r="K632" t="s">
        <v>19</v>
      </c>
    </row>
    <row r="633" spans="1:11">
      <c r="A633" s="1">
        <v>45641</v>
      </c>
      <c r="B633" t="s">
        <v>90</v>
      </c>
      <c r="C633" t="s">
        <v>104</v>
      </c>
      <c r="D633" t="s">
        <v>118</v>
      </c>
      <c r="E633" t="s">
        <v>186</v>
      </c>
      <c r="F633" t="s">
        <v>26</v>
      </c>
      <c r="G633" s="2">
        <v>130</v>
      </c>
      <c r="H633" t="s">
        <v>27</v>
      </c>
      <c r="I633" t="s">
        <v>181</v>
      </c>
      <c r="J633" t="s">
        <v>18</v>
      </c>
      <c r="K633" t="s">
        <v>19</v>
      </c>
    </row>
    <row r="634" spans="1:11">
      <c r="A634" s="1">
        <v>45641</v>
      </c>
      <c r="B634" t="s">
        <v>90</v>
      </c>
      <c r="C634" t="s">
        <v>104</v>
      </c>
      <c r="D634" t="s">
        <v>119</v>
      </c>
      <c r="E634" t="s">
        <v>180</v>
      </c>
      <c r="F634" t="s">
        <v>26</v>
      </c>
      <c r="G634" s="2">
        <v>78.33</v>
      </c>
      <c r="H634" t="s">
        <v>27</v>
      </c>
      <c r="I634" t="s">
        <v>181</v>
      </c>
      <c r="J634" t="s">
        <v>18</v>
      </c>
      <c r="K634" t="s">
        <v>19</v>
      </c>
    </row>
    <row r="635" spans="1:11">
      <c r="A635" s="1">
        <v>45641</v>
      </c>
      <c r="B635" t="s">
        <v>90</v>
      </c>
      <c r="C635" t="s">
        <v>104</v>
      </c>
      <c r="D635" t="s">
        <v>119</v>
      </c>
      <c r="E635" t="s">
        <v>182</v>
      </c>
      <c r="F635" t="s">
        <v>26</v>
      </c>
      <c r="G635" s="2">
        <v>80</v>
      </c>
      <c r="H635" t="s">
        <v>27</v>
      </c>
      <c r="I635" t="s">
        <v>181</v>
      </c>
      <c r="J635" t="s">
        <v>18</v>
      </c>
      <c r="K635" t="s">
        <v>19</v>
      </c>
    </row>
    <row r="636" spans="1:11">
      <c r="A636" s="1">
        <v>45641</v>
      </c>
      <c r="B636" t="s">
        <v>90</v>
      </c>
      <c r="C636" t="s">
        <v>104</v>
      </c>
      <c r="D636" t="s">
        <v>119</v>
      </c>
      <c r="E636" t="s">
        <v>183</v>
      </c>
      <c r="F636" t="s">
        <v>26</v>
      </c>
      <c r="G636" s="2">
        <v>115</v>
      </c>
      <c r="H636" t="s">
        <v>27</v>
      </c>
      <c r="I636" t="s">
        <v>181</v>
      </c>
      <c r="J636" t="s">
        <v>18</v>
      </c>
      <c r="K636" t="s">
        <v>19</v>
      </c>
    </row>
    <row r="637" spans="1:11">
      <c r="A637" s="1">
        <v>45641</v>
      </c>
      <c r="B637" t="s">
        <v>90</v>
      </c>
      <c r="C637" t="s">
        <v>104</v>
      </c>
      <c r="D637" t="s">
        <v>119</v>
      </c>
      <c r="E637" t="s">
        <v>184</v>
      </c>
      <c r="F637" t="s">
        <v>185</v>
      </c>
      <c r="G637" s="2">
        <v>311.67</v>
      </c>
      <c r="H637" t="s">
        <v>27</v>
      </c>
      <c r="I637" t="s">
        <v>181</v>
      </c>
      <c r="J637" t="s">
        <v>18</v>
      </c>
      <c r="K637" t="s">
        <v>19</v>
      </c>
    </row>
    <row r="638" spans="1:11">
      <c r="A638" s="1">
        <v>45641</v>
      </c>
      <c r="B638" t="s">
        <v>90</v>
      </c>
      <c r="C638" t="s">
        <v>104</v>
      </c>
      <c r="D638" t="s">
        <v>119</v>
      </c>
      <c r="E638" t="s">
        <v>186</v>
      </c>
      <c r="F638" t="s">
        <v>26</v>
      </c>
      <c r="G638" s="2">
        <v>145</v>
      </c>
      <c r="H638" t="s">
        <v>27</v>
      </c>
      <c r="I638" t="s">
        <v>181</v>
      </c>
      <c r="J638" t="s">
        <v>18</v>
      </c>
      <c r="K638" t="s">
        <v>19</v>
      </c>
    </row>
    <row r="639" spans="1:11">
      <c r="A639" s="1">
        <v>45641</v>
      </c>
      <c r="B639" t="s">
        <v>90</v>
      </c>
      <c r="C639" t="s">
        <v>104</v>
      </c>
      <c r="D639" t="s">
        <v>120</v>
      </c>
      <c r="E639" t="s">
        <v>180</v>
      </c>
      <c r="F639" t="s">
        <v>26</v>
      </c>
      <c r="G639" s="2">
        <v>76.67</v>
      </c>
      <c r="H639" t="s">
        <v>27</v>
      </c>
      <c r="I639" t="s">
        <v>181</v>
      </c>
      <c r="J639" t="s">
        <v>18</v>
      </c>
      <c r="K639" t="s">
        <v>19</v>
      </c>
    </row>
    <row r="640" spans="1:11">
      <c r="A640" s="1">
        <v>45641</v>
      </c>
      <c r="B640" t="s">
        <v>90</v>
      </c>
      <c r="C640" t="s">
        <v>104</v>
      </c>
      <c r="D640" t="s">
        <v>120</v>
      </c>
      <c r="E640" t="s">
        <v>182</v>
      </c>
      <c r="F640" t="s">
        <v>26</v>
      </c>
      <c r="G640" s="2">
        <v>83.33</v>
      </c>
      <c r="H640" t="s">
        <v>27</v>
      </c>
      <c r="I640" t="s">
        <v>181</v>
      </c>
      <c r="J640" t="s">
        <v>18</v>
      </c>
      <c r="K640" t="s">
        <v>19</v>
      </c>
    </row>
    <row r="641" spans="1:11">
      <c r="A641" s="1">
        <v>45641</v>
      </c>
      <c r="B641" t="s">
        <v>90</v>
      </c>
      <c r="C641" t="s">
        <v>104</v>
      </c>
      <c r="D641" t="s">
        <v>120</v>
      </c>
      <c r="E641" t="s">
        <v>183</v>
      </c>
      <c r="F641" t="s">
        <v>26</v>
      </c>
      <c r="G641" s="2">
        <v>93.33</v>
      </c>
      <c r="H641" t="s">
        <v>27</v>
      </c>
      <c r="I641" t="s">
        <v>181</v>
      </c>
      <c r="J641" t="s">
        <v>18</v>
      </c>
      <c r="K641" t="s">
        <v>19</v>
      </c>
    </row>
    <row r="642" spans="1:11">
      <c r="A642" s="1">
        <v>45641</v>
      </c>
      <c r="B642" t="s">
        <v>90</v>
      </c>
      <c r="C642" t="s">
        <v>104</v>
      </c>
      <c r="D642" t="s">
        <v>120</v>
      </c>
      <c r="E642" t="s">
        <v>184</v>
      </c>
      <c r="F642" t="s">
        <v>185</v>
      </c>
      <c r="G642" s="2">
        <v>310</v>
      </c>
      <c r="H642" t="s">
        <v>27</v>
      </c>
      <c r="I642" t="s">
        <v>181</v>
      </c>
      <c r="J642" t="s">
        <v>18</v>
      </c>
      <c r="K642" t="s">
        <v>19</v>
      </c>
    </row>
    <row r="643" spans="1:11">
      <c r="A643" s="1">
        <v>45641</v>
      </c>
      <c r="B643" t="s">
        <v>90</v>
      </c>
      <c r="C643" t="s">
        <v>104</v>
      </c>
      <c r="D643" t="s">
        <v>120</v>
      </c>
      <c r="E643" t="s">
        <v>186</v>
      </c>
      <c r="F643" t="s">
        <v>26</v>
      </c>
      <c r="G643" s="2">
        <v>110</v>
      </c>
      <c r="H643" t="s">
        <v>27</v>
      </c>
      <c r="I643" t="s">
        <v>181</v>
      </c>
      <c r="J643" t="s">
        <v>18</v>
      </c>
      <c r="K643" t="s">
        <v>19</v>
      </c>
    </row>
    <row r="644" spans="1:11">
      <c r="A644" s="1">
        <v>45641</v>
      </c>
      <c r="B644" t="s">
        <v>90</v>
      </c>
      <c r="C644" t="s">
        <v>104</v>
      </c>
      <c r="D644" t="s">
        <v>157</v>
      </c>
      <c r="E644" t="s">
        <v>180</v>
      </c>
      <c r="F644" t="s">
        <v>26</v>
      </c>
      <c r="G644" s="2">
        <v>77.5</v>
      </c>
      <c r="H644" t="s">
        <v>27</v>
      </c>
      <c r="I644" t="s">
        <v>181</v>
      </c>
      <c r="J644" t="s">
        <v>18</v>
      </c>
      <c r="K644" t="s">
        <v>19</v>
      </c>
    </row>
    <row r="645" spans="1:11">
      <c r="A645" s="1">
        <v>45641</v>
      </c>
      <c r="B645" t="s">
        <v>90</v>
      </c>
      <c r="C645" t="s">
        <v>104</v>
      </c>
      <c r="D645" t="s">
        <v>157</v>
      </c>
      <c r="E645" t="s">
        <v>182</v>
      </c>
      <c r="F645" t="s">
        <v>26</v>
      </c>
      <c r="G645" s="2">
        <v>70</v>
      </c>
      <c r="H645" t="s">
        <v>27</v>
      </c>
      <c r="I645" t="s">
        <v>181</v>
      </c>
      <c r="J645" t="s">
        <v>18</v>
      </c>
      <c r="K645" t="s">
        <v>19</v>
      </c>
    </row>
    <row r="646" spans="1:11">
      <c r="A646" s="1">
        <v>45641</v>
      </c>
      <c r="B646" t="s">
        <v>90</v>
      </c>
      <c r="C646" t="s">
        <v>104</v>
      </c>
      <c r="D646" t="s">
        <v>157</v>
      </c>
      <c r="E646" t="s">
        <v>183</v>
      </c>
      <c r="F646" t="s">
        <v>26</v>
      </c>
      <c r="G646" s="2">
        <v>145</v>
      </c>
      <c r="H646" t="s">
        <v>27</v>
      </c>
      <c r="I646" t="s">
        <v>181</v>
      </c>
      <c r="J646" t="s">
        <v>18</v>
      </c>
      <c r="K646" t="s">
        <v>19</v>
      </c>
    </row>
    <row r="647" spans="1:11">
      <c r="A647" s="1">
        <v>45641</v>
      </c>
      <c r="B647" t="s">
        <v>90</v>
      </c>
      <c r="C647" t="s">
        <v>104</v>
      </c>
      <c r="D647" t="s">
        <v>157</v>
      </c>
      <c r="E647" t="s">
        <v>25</v>
      </c>
      <c r="F647" t="s">
        <v>26</v>
      </c>
      <c r="G647" s="2">
        <v>157.5</v>
      </c>
      <c r="H647" t="s">
        <v>27</v>
      </c>
      <c r="I647" t="s">
        <v>181</v>
      </c>
      <c r="J647" t="s">
        <v>18</v>
      </c>
      <c r="K647" t="s">
        <v>19</v>
      </c>
    </row>
    <row r="648" spans="1:11">
      <c r="A648" s="1">
        <v>45641</v>
      </c>
      <c r="B648" t="s">
        <v>90</v>
      </c>
      <c r="C648" t="s">
        <v>104</v>
      </c>
      <c r="D648" t="s">
        <v>157</v>
      </c>
      <c r="E648" t="s">
        <v>184</v>
      </c>
      <c r="F648" t="s">
        <v>185</v>
      </c>
      <c r="G648" s="2">
        <v>307.5</v>
      </c>
      <c r="H648" t="s">
        <v>27</v>
      </c>
      <c r="I648" t="s">
        <v>181</v>
      </c>
      <c r="J648" t="s">
        <v>18</v>
      </c>
      <c r="K648" t="s">
        <v>19</v>
      </c>
    </row>
    <row r="649" spans="1:11">
      <c r="A649" s="1">
        <v>45641</v>
      </c>
      <c r="B649" t="s">
        <v>90</v>
      </c>
      <c r="C649" t="s">
        <v>104</v>
      </c>
      <c r="D649" t="s">
        <v>157</v>
      </c>
      <c r="E649" t="s">
        <v>186</v>
      </c>
      <c r="F649" t="s">
        <v>26</v>
      </c>
      <c r="G649" s="2">
        <v>152.5</v>
      </c>
      <c r="H649" t="s">
        <v>27</v>
      </c>
      <c r="I649" t="s">
        <v>181</v>
      </c>
      <c r="J649" t="s">
        <v>18</v>
      </c>
      <c r="K649" t="s">
        <v>19</v>
      </c>
    </row>
    <row r="650" spans="1:11">
      <c r="A650" s="1">
        <v>45672</v>
      </c>
      <c r="B650" t="s">
        <v>63</v>
      </c>
      <c r="C650" t="s">
        <v>64</v>
      </c>
      <c r="D650" t="s">
        <v>68</v>
      </c>
      <c r="E650" t="s">
        <v>180</v>
      </c>
      <c r="F650" t="s">
        <v>26</v>
      </c>
      <c r="G650" s="2">
        <v>88.38</v>
      </c>
      <c r="H650" t="s">
        <v>27</v>
      </c>
      <c r="I650" t="s">
        <v>181</v>
      </c>
      <c r="J650" t="s">
        <v>18</v>
      </c>
      <c r="K650" t="s">
        <v>19</v>
      </c>
    </row>
    <row r="651" spans="1:11">
      <c r="A651" s="1">
        <v>45672</v>
      </c>
      <c r="B651" t="s">
        <v>63</v>
      </c>
      <c r="C651" t="s">
        <v>64</v>
      </c>
      <c r="D651" t="s">
        <v>68</v>
      </c>
      <c r="E651" t="s">
        <v>182</v>
      </c>
      <c r="F651" t="s">
        <v>26</v>
      </c>
      <c r="G651" s="2">
        <v>67.12</v>
      </c>
      <c r="H651" t="s">
        <v>27</v>
      </c>
      <c r="I651" t="s">
        <v>181</v>
      </c>
      <c r="J651" t="s">
        <v>18</v>
      </c>
      <c r="K651" t="s">
        <v>19</v>
      </c>
    </row>
    <row r="652" spans="1:11">
      <c r="A652" s="1">
        <v>45672</v>
      </c>
      <c r="B652" t="s">
        <v>63</v>
      </c>
      <c r="C652" t="s">
        <v>64</v>
      </c>
      <c r="D652" t="s">
        <v>68</v>
      </c>
      <c r="E652" t="s">
        <v>183</v>
      </c>
      <c r="F652" t="s">
        <v>26</v>
      </c>
      <c r="G652" s="2">
        <v>117.22</v>
      </c>
      <c r="H652" t="s">
        <v>27</v>
      </c>
      <c r="I652" t="s">
        <v>181</v>
      </c>
      <c r="J652" t="s">
        <v>18</v>
      </c>
      <c r="K652" t="s">
        <v>19</v>
      </c>
    </row>
    <row r="653" spans="1:11">
      <c r="A653" s="1">
        <v>45672</v>
      </c>
      <c r="B653" t="s">
        <v>63</v>
      </c>
      <c r="C653" t="s">
        <v>64</v>
      </c>
      <c r="D653" t="s">
        <v>68</v>
      </c>
      <c r="E653" t="s">
        <v>25</v>
      </c>
      <c r="F653" t="s">
        <v>26</v>
      </c>
      <c r="G653" s="2">
        <v>120.23</v>
      </c>
      <c r="H653" t="s">
        <v>27</v>
      </c>
      <c r="I653" t="s">
        <v>181</v>
      </c>
      <c r="J653" t="s">
        <v>18</v>
      </c>
      <c r="K653" t="s">
        <v>19</v>
      </c>
    </row>
    <row r="654" spans="1:11">
      <c r="A654" s="1">
        <v>45672</v>
      </c>
      <c r="B654" t="s">
        <v>63</v>
      </c>
      <c r="C654" t="s">
        <v>64</v>
      </c>
      <c r="D654" t="s">
        <v>68</v>
      </c>
      <c r="E654" t="s">
        <v>184</v>
      </c>
      <c r="F654" t="s">
        <v>185</v>
      </c>
      <c r="G654" s="2">
        <v>266.5</v>
      </c>
      <c r="H654" t="s">
        <v>27</v>
      </c>
      <c r="I654" t="s">
        <v>181</v>
      </c>
      <c r="J654" t="s">
        <v>18</v>
      </c>
      <c r="K654" t="s">
        <v>19</v>
      </c>
    </row>
    <row r="655" spans="1:11">
      <c r="A655" s="1">
        <v>45672</v>
      </c>
      <c r="B655" t="s">
        <v>63</v>
      </c>
      <c r="C655" t="s">
        <v>64</v>
      </c>
      <c r="D655" t="s">
        <v>68</v>
      </c>
      <c r="E655" t="s">
        <v>186</v>
      </c>
      <c r="F655" t="s">
        <v>26</v>
      </c>
      <c r="G655" s="2">
        <v>118.27</v>
      </c>
      <c r="H655" t="s">
        <v>27</v>
      </c>
      <c r="I655" t="s">
        <v>181</v>
      </c>
      <c r="J655" t="s">
        <v>18</v>
      </c>
      <c r="K655" t="s">
        <v>19</v>
      </c>
    </row>
    <row r="656" spans="1:11">
      <c r="A656" s="1">
        <v>45672</v>
      </c>
      <c r="B656" t="s">
        <v>63</v>
      </c>
      <c r="C656" t="s">
        <v>64</v>
      </c>
      <c r="D656" t="s">
        <v>71</v>
      </c>
      <c r="E656" t="s">
        <v>180</v>
      </c>
      <c r="F656" t="s">
        <v>26</v>
      </c>
      <c r="G656" s="2">
        <v>95.34999999999999</v>
      </c>
      <c r="H656" t="s">
        <v>27</v>
      </c>
      <c r="I656" t="s">
        <v>181</v>
      </c>
      <c r="J656" t="s">
        <v>18</v>
      </c>
      <c r="K656" t="s">
        <v>19</v>
      </c>
    </row>
    <row r="657" spans="1:11">
      <c r="A657" s="1">
        <v>45672</v>
      </c>
      <c r="B657" t="s">
        <v>63</v>
      </c>
      <c r="C657" t="s">
        <v>64</v>
      </c>
      <c r="D657" t="s">
        <v>71</v>
      </c>
      <c r="E657" t="s">
        <v>182</v>
      </c>
      <c r="F657" t="s">
        <v>26</v>
      </c>
      <c r="G657" s="2">
        <v>72.05</v>
      </c>
      <c r="H657" t="s">
        <v>27</v>
      </c>
      <c r="I657" t="s">
        <v>181</v>
      </c>
      <c r="J657" t="s">
        <v>18</v>
      </c>
      <c r="K657" t="s">
        <v>19</v>
      </c>
    </row>
    <row r="658" spans="1:11">
      <c r="A658" s="1">
        <v>45672</v>
      </c>
      <c r="B658" t="s">
        <v>63</v>
      </c>
      <c r="C658" t="s">
        <v>64</v>
      </c>
      <c r="D658" t="s">
        <v>71</v>
      </c>
      <c r="E658" t="s">
        <v>183</v>
      </c>
      <c r="F658" t="s">
        <v>26</v>
      </c>
      <c r="G658" s="2">
        <v>100.12</v>
      </c>
      <c r="H658" t="s">
        <v>27</v>
      </c>
      <c r="I658" t="s">
        <v>181</v>
      </c>
      <c r="J658" t="s">
        <v>18</v>
      </c>
      <c r="K658" t="s">
        <v>19</v>
      </c>
    </row>
    <row r="659" spans="1:11">
      <c r="A659" s="1">
        <v>45672</v>
      </c>
      <c r="B659" t="s">
        <v>63</v>
      </c>
      <c r="C659" t="s">
        <v>64</v>
      </c>
      <c r="D659" t="s">
        <v>71</v>
      </c>
      <c r="E659" t="s">
        <v>25</v>
      </c>
      <c r="F659" t="s">
        <v>26</v>
      </c>
      <c r="G659" s="2">
        <v>121.67</v>
      </c>
      <c r="H659" t="s">
        <v>27</v>
      </c>
      <c r="I659" t="s">
        <v>181</v>
      </c>
      <c r="J659" t="s">
        <v>18</v>
      </c>
      <c r="K659" t="s">
        <v>19</v>
      </c>
    </row>
    <row r="660" spans="1:11">
      <c r="A660" s="1">
        <v>45672</v>
      </c>
      <c r="B660" t="s">
        <v>63</v>
      </c>
      <c r="C660" t="s">
        <v>64</v>
      </c>
      <c r="D660" t="s">
        <v>71</v>
      </c>
      <c r="E660" t="s">
        <v>184</v>
      </c>
      <c r="F660" t="s">
        <v>185</v>
      </c>
      <c r="G660" s="2">
        <v>275.36</v>
      </c>
      <c r="H660" t="s">
        <v>27</v>
      </c>
      <c r="I660" t="s">
        <v>181</v>
      </c>
      <c r="J660" t="s">
        <v>18</v>
      </c>
      <c r="K660" t="s">
        <v>19</v>
      </c>
    </row>
    <row r="661" spans="1:11">
      <c r="A661" s="1">
        <v>45672</v>
      </c>
      <c r="B661" t="s">
        <v>63</v>
      </c>
      <c r="C661" t="s">
        <v>64</v>
      </c>
      <c r="D661" t="s">
        <v>71</v>
      </c>
      <c r="E661" t="s">
        <v>186</v>
      </c>
      <c r="F661" t="s">
        <v>26</v>
      </c>
      <c r="G661" s="2">
        <v>118.87</v>
      </c>
      <c r="H661" t="s">
        <v>27</v>
      </c>
      <c r="I661" t="s">
        <v>181</v>
      </c>
      <c r="J661" t="s">
        <v>18</v>
      </c>
      <c r="K661" t="s">
        <v>19</v>
      </c>
    </row>
    <row r="662" spans="1:11">
      <c r="A662" s="1">
        <v>45672</v>
      </c>
      <c r="B662" t="s">
        <v>63</v>
      </c>
      <c r="C662" t="s">
        <v>64</v>
      </c>
      <c r="D662" t="s">
        <v>72</v>
      </c>
      <c r="E662" t="s">
        <v>180</v>
      </c>
      <c r="F662" t="s">
        <v>26</v>
      </c>
      <c r="G662" s="2">
        <v>100</v>
      </c>
      <c r="H662" t="s">
        <v>27</v>
      </c>
      <c r="I662" t="s">
        <v>181</v>
      </c>
      <c r="J662" t="s">
        <v>18</v>
      </c>
      <c r="K662" t="s">
        <v>19</v>
      </c>
    </row>
    <row r="663" spans="1:11">
      <c r="A663" s="1">
        <v>45672</v>
      </c>
      <c r="B663" t="s">
        <v>63</v>
      </c>
      <c r="C663" t="s">
        <v>64</v>
      </c>
      <c r="D663" t="s">
        <v>72</v>
      </c>
      <c r="E663" t="s">
        <v>182</v>
      </c>
      <c r="F663" t="s">
        <v>26</v>
      </c>
      <c r="G663" s="2">
        <v>64.08</v>
      </c>
      <c r="H663" t="s">
        <v>27</v>
      </c>
      <c r="I663" t="s">
        <v>181</v>
      </c>
      <c r="J663" t="s">
        <v>18</v>
      </c>
      <c r="K663" t="s">
        <v>19</v>
      </c>
    </row>
    <row r="664" spans="1:11">
      <c r="A664" s="1">
        <v>45672</v>
      </c>
      <c r="B664" t="s">
        <v>63</v>
      </c>
      <c r="C664" t="s">
        <v>64</v>
      </c>
      <c r="D664" t="s">
        <v>72</v>
      </c>
      <c r="E664" t="s">
        <v>183</v>
      </c>
      <c r="F664" t="s">
        <v>26</v>
      </c>
      <c r="G664" s="2">
        <v>117.4</v>
      </c>
      <c r="H664" t="s">
        <v>27</v>
      </c>
      <c r="I664" t="s">
        <v>181</v>
      </c>
      <c r="J664" t="s">
        <v>18</v>
      </c>
      <c r="K664" t="s">
        <v>19</v>
      </c>
    </row>
    <row r="665" spans="1:11">
      <c r="A665" s="1">
        <v>45672</v>
      </c>
      <c r="B665" t="s">
        <v>63</v>
      </c>
      <c r="C665" t="s">
        <v>64</v>
      </c>
      <c r="D665" t="s">
        <v>72</v>
      </c>
      <c r="E665" t="s">
        <v>25</v>
      </c>
      <c r="F665" t="s">
        <v>26</v>
      </c>
      <c r="G665" s="2">
        <v>122.53</v>
      </c>
      <c r="H665" t="s">
        <v>27</v>
      </c>
      <c r="I665" t="s">
        <v>181</v>
      </c>
      <c r="J665" t="s">
        <v>18</v>
      </c>
      <c r="K665" t="s">
        <v>19</v>
      </c>
    </row>
    <row r="666" spans="1:11">
      <c r="A666" s="1">
        <v>45672</v>
      </c>
      <c r="B666" t="s">
        <v>63</v>
      </c>
      <c r="C666" t="s">
        <v>64</v>
      </c>
      <c r="D666" t="s">
        <v>72</v>
      </c>
      <c r="E666" t="s">
        <v>184</v>
      </c>
      <c r="F666" t="s">
        <v>185</v>
      </c>
      <c r="G666" s="2">
        <v>270.07</v>
      </c>
      <c r="H666" t="s">
        <v>27</v>
      </c>
      <c r="I666" t="s">
        <v>181</v>
      </c>
      <c r="J666" t="s">
        <v>18</v>
      </c>
      <c r="K666" t="s">
        <v>19</v>
      </c>
    </row>
    <row r="667" spans="1:11">
      <c r="A667" s="1">
        <v>45672</v>
      </c>
      <c r="B667" t="s">
        <v>63</v>
      </c>
      <c r="C667" t="s">
        <v>64</v>
      </c>
      <c r="D667" t="s">
        <v>72</v>
      </c>
      <c r="E667" t="s">
        <v>186</v>
      </c>
      <c r="F667" t="s">
        <v>26</v>
      </c>
      <c r="G667" s="2">
        <v>119.77</v>
      </c>
      <c r="H667" t="s">
        <v>27</v>
      </c>
      <c r="I667" t="s">
        <v>181</v>
      </c>
      <c r="J667" t="s">
        <v>18</v>
      </c>
      <c r="K667" t="s">
        <v>19</v>
      </c>
    </row>
    <row r="668" spans="1:11">
      <c r="A668" s="1">
        <v>45672</v>
      </c>
      <c r="B668" t="s">
        <v>90</v>
      </c>
      <c r="C668" t="s">
        <v>104</v>
      </c>
      <c r="D668" t="s">
        <v>113</v>
      </c>
      <c r="E668" t="s">
        <v>180</v>
      </c>
      <c r="F668" t="s">
        <v>26</v>
      </c>
      <c r="G668" s="2">
        <v>80</v>
      </c>
      <c r="H668" t="s">
        <v>27</v>
      </c>
      <c r="I668" t="s">
        <v>181</v>
      </c>
      <c r="J668" t="s">
        <v>18</v>
      </c>
      <c r="K668" t="s">
        <v>19</v>
      </c>
    </row>
    <row r="669" spans="1:11">
      <c r="A669" s="1">
        <v>45672</v>
      </c>
      <c r="B669" t="s">
        <v>90</v>
      </c>
      <c r="C669" t="s">
        <v>104</v>
      </c>
      <c r="D669" t="s">
        <v>113</v>
      </c>
      <c r="E669" t="s">
        <v>182</v>
      </c>
      <c r="F669" t="s">
        <v>26</v>
      </c>
      <c r="G669" s="2">
        <v>80</v>
      </c>
      <c r="H669" t="s">
        <v>27</v>
      </c>
      <c r="I669" t="s">
        <v>181</v>
      </c>
      <c r="J669" t="s">
        <v>18</v>
      </c>
      <c r="K669" t="s">
        <v>19</v>
      </c>
    </row>
    <row r="670" spans="1:11">
      <c r="A670" s="1">
        <v>45672</v>
      </c>
      <c r="B670" t="s">
        <v>90</v>
      </c>
      <c r="C670" t="s">
        <v>104</v>
      </c>
      <c r="D670" t="s">
        <v>113</v>
      </c>
      <c r="E670" t="s">
        <v>183</v>
      </c>
      <c r="F670" t="s">
        <v>26</v>
      </c>
      <c r="G670" s="2">
        <v>100</v>
      </c>
      <c r="H670" t="s">
        <v>27</v>
      </c>
      <c r="I670" t="s">
        <v>181</v>
      </c>
      <c r="J670" t="s">
        <v>18</v>
      </c>
      <c r="K670" t="s">
        <v>19</v>
      </c>
    </row>
    <row r="671" spans="1:11">
      <c r="A671" s="1">
        <v>45672</v>
      </c>
      <c r="B671" t="s">
        <v>90</v>
      </c>
      <c r="C671" t="s">
        <v>104</v>
      </c>
      <c r="D671" t="s">
        <v>113</v>
      </c>
      <c r="E671" t="s">
        <v>25</v>
      </c>
      <c r="F671" t="s">
        <v>26</v>
      </c>
      <c r="G671" s="2">
        <v>153.33</v>
      </c>
      <c r="H671" t="s">
        <v>27</v>
      </c>
      <c r="I671" t="s">
        <v>181</v>
      </c>
      <c r="J671" t="s">
        <v>18</v>
      </c>
      <c r="K671" t="s">
        <v>19</v>
      </c>
    </row>
    <row r="672" spans="1:11">
      <c r="A672" s="1">
        <v>45672</v>
      </c>
      <c r="B672" t="s">
        <v>90</v>
      </c>
      <c r="C672" t="s">
        <v>104</v>
      </c>
      <c r="D672" t="s">
        <v>113</v>
      </c>
      <c r="E672" t="s">
        <v>184</v>
      </c>
      <c r="F672" t="s">
        <v>185</v>
      </c>
      <c r="G672" s="2">
        <v>316.67</v>
      </c>
      <c r="H672" t="s">
        <v>27</v>
      </c>
      <c r="I672" t="s">
        <v>181</v>
      </c>
      <c r="J672" t="s">
        <v>18</v>
      </c>
      <c r="K672" t="s">
        <v>19</v>
      </c>
    </row>
    <row r="673" spans="1:11">
      <c r="A673" s="1">
        <v>45672</v>
      </c>
      <c r="B673" t="s">
        <v>90</v>
      </c>
      <c r="C673" t="s">
        <v>104</v>
      </c>
      <c r="D673" t="s">
        <v>113</v>
      </c>
      <c r="E673" t="s">
        <v>186</v>
      </c>
      <c r="F673" t="s">
        <v>26</v>
      </c>
      <c r="G673" s="2">
        <v>123.33</v>
      </c>
      <c r="H673" t="s">
        <v>27</v>
      </c>
      <c r="I673" t="s">
        <v>181</v>
      </c>
      <c r="J673" t="s">
        <v>18</v>
      </c>
      <c r="K673" t="s">
        <v>19</v>
      </c>
    </row>
    <row r="674" spans="1:11">
      <c r="A674" s="1">
        <v>45672</v>
      </c>
      <c r="B674" t="s">
        <v>90</v>
      </c>
      <c r="C674" t="s">
        <v>104</v>
      </c>
      <c r="D674" t="s">
        <v>114</v>
      </c>
      <c r="E674" t="s">
        <v>180</v>
      </c>
      <c r="F674" t="s">
        <v>26</v>
      </c>
      <c r="G674" s="2">
        <v>76.67</v>
      </c>
      <c r="H674" t="s">
        <v>27</v>
      </c>
      <c r="I674" t="s">
        <v>181</v>
      </c>
      <c r="J674" t="s">
        <v>18</v>
      </c>
      <c r="K674" t="s">
        <v>19</v>
      </c>
    </row>
    <row r="675" spans="1:11">
      <c r="A675" s="1">
        <v>45672</v>
      </c>
      <c r="B675" t="s">
        <v>90</v>
      </c>
      <c r="C675" t="s">
        <v>104</v>
      </c>
      <c r="D675" t="s">
        <v>114</v>
      </c>
      <c r="E675" t="s">
        <v>183</v>
      </c>
      <c r="F675" t="s">
        <v>26</v>
      </c>
      <c r="G675" s="2">
        <v>126.67</v>
      </c>
      <c r="H675" t="s">
        <v>27</v>
      </c>
      <c r="I675" t="s">
        <v>181</v>
      </c>
      <c r="J675" t="s">
        <v>18</v>
      </c>
      <c r="K675" t="s">
        <v>19</v>
      </c>
    </row>
    <row r="676" spans="1:11">
      <c r="A676" s="1">
        <v>45672</v>
      </c>
      <c r="B676" t="s">
        <v>90</v>
      </c>
      <c r="C676" t="s">
        <v>104</v>
      </c>
      <c r="D676" t="s">
        <v>114</v>
      </c>
      <c r="E676" t="s">
        <v>25</v>
      </c>
      <c r="F676" t="s">
        <v>26</v>
      </c>
      <c r="G676" s="2">
        <v>173.33</v>
      </c>
      <c r="H676" t="s">
        <v>27</v>
      </c>
      <c r="I676" t="s">
        <v>181</v>
      </c>
      <c r="J676" t="s">
        <v>18</v>
      </c>
      <c r="K676" t="s">
        <v>19</v>
      </c>
    </row>
    <row r="677" spans="1:11">
      <c r="A677" s="1">
        <v>45672</v>
      </c>
      <c r="B677" t="s">
        <v>90</v>
      </c>
      <c r="C677" t="s">
        <v>104</v>
      </c>
      <c r="D677" t="s">
        <v>114</v>
      </c>
      <c r="E677" t="s">
        <v>184</v>
      </c>
      <c r="F677" t="s">
        <v>185</v>
      </c>
      <c r="G677" s="2">
        <v>316.67</v>
      </c>
      <c r="H677" t="s">
        <v>27</v>
      </c>
      <c r="I677" t="s">
        <v>181</v>
      </c>
      <c r="J677" t="s">
        <v>18</v>
      </c>
      <c r="K677" t="s">
        <v>19</v>
      </c>
    </row>
    <row r="678" spans="1:11">
      <c r="A678" s="1">
        <v>45672</v>
      </c>
      <c r="B678" t="s">
        <v>90</v>
      </c>
      <c r="C678" t="s">
        <v>104</v>
      </c>
      <c r="D678" t="s">
        <v>114</v>
      </c>
      <c r="E678" t="s">
        <v>186</v>
      </c>
      <c r="F678" t="s">
        <v>26</v>
      </c>
      <c r="G678" s="2">
        <v>160</v>
      </c>
      <c r="H678" t="s">
        <v>27</v>
      </c>
      <c r="I678" t="s">
        <v>181</v>
      </c>
      <c r="J678" t="s">
        <v>18</v>
      </c>
      <c r="K678" t="s">
        <v>19</v>
      </c>
    </row>
    <row r="679" spans="1:11">
      <c r="A679" s="1">
        <v>45672</v>
      </c>
      <c r="B679" t="s">
        <v>90</v>
      </c>
      <c r="C679" t="s">
        <v>104</v>
      </c>
      <c r="D679" t="s">
        <v>118</v>
      </c>
      <c r="E679" t="s">
        <v>180</v>
      </c>
      <c r="F679" t="s">
        <v>26</v>
      </c>
      <c r="G679" s="2">
        <v>83.33</v>
      </c>
      <c r="H679" t="s">
        <v>27</v>
      </c>
      <c r="I679" t="s">
        <v>181</v>
      </c>
      <c r="J679" t="s">
        <v>18</v>
      </c>
      <c r="K679" t="s">
        <v>19</v>
      </c>
    </row>
    <row r="680" spans="1:11">
      <c r="A680" s="1">
        <v>45672</v>
      </c>
      <c r="B680" t="s">
        <v>90</v>
      </c>
      <c r="C680" t="s">
        <v>104</v>
      </c>
      <c r="D680" t="s">
        <v>118</v>
      </c>
      <c r="E680" t="s">
        <v>183</v>
      </c>
      <c r="F680" t="s">
        <v>26</v>
      </c>
      <c r="G680" s="2">
        <v>116.67</v>
      </c>
      <c r="H680" t="s">
        <v>27</v>
      </c>
      <c r="I680" t="s">
        <v>181</v>
      </c>
      <c r="J680" t="s">
        <v>18</v>
      </c>
      <c r="K680" t="s">
        <v>19</v>
      </c>
    </row>
    <row r="681" spans="1:11">
      <c r="A681" s="1">
        <v>45672</v>
      </c>
      <c r="B681" t="s">
        <v>90</v>
      </c>
      <c r="C681" t="s">
        <v>104</v>
      </c>
      <c r="D681" t="s">
        <v>118</v>
      </c>
      <c r="E681" t="s">
        <v>25</v>
      </c>
      <c r="F681" t="s">
        <v>26</v>
      </c>
      <c r="G681" s="2">
        <v>166.67</v>
      </c>
      <c r="H681" t="s">
        <v>27</v>
      </c>
      <c r="I681" t="s">
        <v>181</v>
      </c>
      <c r="J681" t="s">
        <v>18</v>
      </c>
      <c r="K681" t="s">
        <v>19</v>
      </c>
    </row>
    <row r="682" spans="1:11">
      <c r="A682" s="1">
        <v>45672</v>
      </c>
      <c r="B682" t="s">
        <v>90</v>
      </c>
      <c r="C682" t="s">
        <v>104</v>
      </c>
      <c r="D682" t="s">
        <v>118</v>
      </c>
      <c r="E682" t="s">
        <v>184</v>
      </c>
      <c r="F682" t="s">
        <v>185</v>
      </c>
      <c r="G682" s="2">
        <v>316.67</v>
      </c>
      <c r="H682" t="s">
        <v>27</v>
      </c>
      <c r="I682" t="s">
        <v>181</v>
      </c>
      <c r="J682" t="s">
        <v>18</v>
      </c>
      <c r="K682" t="s">
        <v>19</v>
      </c>
    </row>
    <row r="683" spans="1:11">
      <c r="A683" s="1">
        <v>45672</v>
      </c>
      <c r="B683" t="s">
        <v>90</v>
      </c>
      <c r="C683" t="s">
        <v>104</v>
      </c>
      <c r="D683" t="s">
        <v>118</v>
      </c>
      <c r="E683" t="s">
        <v>186</v>
      </c>
      <c r="F683" t="s">
        <v>26</v>
      </c>
      <c r="G683" s="2">
        <v>150</v>
      </c>
      <c r="H683" t="s">
        <v>27</v>
      </c>
      <c r="I683" t="s">
        <v>181</v>
      </c>
      <c r="J683" t="s">
        <v>18</v>
      </c>
      <c r="K683" t="s">
        <v>19</v>
      </c>
    </row>
    <row r="684" spans="1:11">
      <c r="A684" s="1">
        <v>45672</v>
      </c>
      <c r="B684" t="s">
        <v>90</v>
      </c>
      <c r="C684" t="s">
        <v>104</v>
      </c>
      <c r="D684" t="s">
        <v>119</v>
      </c>
      <c r="E684" t="s">
        <v>180</v>
      </c>
      <c r="F684" t="s">
        <v>26</v>
      </c>
      <c r="G684" s="2">
        <v>76.67</v>
      </c>
      <c r="H684" t="s">
        <v>27</v>
      </c>
      <c r="I684" t="s">
        <v>181</v>
      </c>
      <c r="J684" t="s">
        <v>18</v>
      </c>
      <c r="K684" t="s">
        <v>19</v>
      </c>
    </row>
    <row r="685" spans="1:11">
      <c r="A685" s="1">
        <v>45672</v>
      </c>
      <c r="B685" t="s">
        <v>90</v>
      </c>
      <c r="C685" t="s">
        <v>104</v>
      </c>
      <c r="D685" t="s">
        <v>119</v>
      </c>
      <c r="E685" t="s">
        <v>182</v>
      </c>
      <c r="F685" t="s">
        <v>26</v>
      </c>
      <c r="G685" s="2">
        <v>50</v>
      </c>
      <c r="H685" t="s">
        <v>27</v>
      </c>
      <c r="I685" t="s">
        <v>181</v>
      </c>
      <c r="J685" t="s">
        <v>18</v>
      </c>
      <c r="K685" t="s">
        <v>19</v>
      </c>
    </row>
    <row r="686" spans="1:11">
      <c r="A686" s="1">
        <v>45672</v>
      </c>
      <c r="B686" t="s">
        <v>90</v>
      </c>
      <c r="C686" t="s">
        <v>104</v>
      </c>
      <c r="D686" t="s">
        <v>119</v>
      </c>
      <c r="E686" t="s">
        <v>183</v>
      </c>
      <c r="F686" t="s">
        <v>26</v>
      </c>
      <c r="G686" s="2">
        <v>123.33</v>
      </c>
      <c r="H686" t="s">
        <v>27</v>
      </c>
      <c r="I686" t="s">
        <v>181</v>
      </c>
      <c r="J686" t="s">
        <v>18</v>
      </c>
      <c r="K686" t="s">
        <v>19</v>
      </c>
    </row>
    <row r="687" spans="1:11">
      <c r="A687" s="1">
        <v>45672</v>
      </c>
      <c r="B687" t="s">
        <v>90</v>
      </c>
      <c r="C687" t="s">
        <v>104</v>
      </c>
      <c r="D687" t="s">
        <v>119</v>
      </c>
      <c r="E687" t="s">
        <v>25</v>
      </c>
      <c r="F687" t="s">
        <v>26</v>
      </c>
      <c r="G687" s="2">
        <v>163.33</v>
      </c>
      <c r="H687" t="s">
        <v>27</v>
      </c>
      <c r="I687" t="s">
        <v>181</v>
      </c>
      <c r="J687" t="s">
        <v>18</v>
      </c>
      <c r="K687" t="s">
        <v>19</v>
      </c>
    </row>
    <row r="688" spans="1:11">
      <c r="A688" s="1">
        <v>45672</v>
      </c>
      <c r="B688" t="s">
        <v>90</v>
      </c>
      <c r="C688" t="s">
        <v>104</v>
      </c>
      <c r="D688" t="s">
        <v>119</v>
      </c>
      <c r="E688" t="s">
        <v>184</v>
      </c>
      <c r="F688" t="s">
        <v>185</v>
      </c>
      <c r="G688" s="2">
        <v>300</v>
      </c>
      <c r="H688" t="s">
        <v>27</v>
      </c>
      <c r="I688" t="s">
        <v>181</v>
      </c>
      <c r="J688" t="s">
        <v>18</v>
      </c>
      <c r="K688" t="s">
        <v>19</v>
      </c>
    </row>
    <row r="689" spans="1:11">
      <c r="A689" s="1">
        <v>45672</v>
      </c>
      <c r="B689" t="s">
        <v>90</v>
      </c>
      <c r="C689" t="s">
        <v>104</v>
      </c>
      <c r="D689" t="s">
        <v>119</v>
      </c>
      <c r="E689" t="s">
        <v>186</v>
      </c>
      <c r="F689" t="s">
        <v>26</v>
      </c>
      <c r="G689" s="2">
        <v>143.33</v>
      </c>
      <c r="H689" t="s">
        <v>27</v>
      </c>
      <c r="I689" t="s">
        <v>181</v>
      </c>
      <c r="J689" t="s">
        <v>18</v>
      </c>
      <c r="K689" t="s">
        <v>19</v>
      </c>
    </row>
    <row r="690" spans="1:11">
      <c r="A690" s="1">
        <v>45672</v>
      </c>
      <c r="B690" t="s">
        <v>90</v>
      </c>
      <c r="C690" t="s">
        <v>104</v>
      </c>
      <c r="D690" t="s">
        <v>120</v>
      </c>
      <c r="E690" t="s">
        <v>180</v>
      </c>
      <c r="F690" t="s">
        <v>26</v>
      </c>
      <c r="G690" s="2">
        <v>77.5</v>
      </c>
      <c r="H690" t="s">
        <v>27</v>
      </c>
      <c r="I690" t="s">
        <v>181</v>
      </c>
      <c r="J690" t="s">
        <v>18</v>
      </c>
      <c r="K690" t="s">
        <v>19</v>
      </c>
    </row>
    <row r="691" spans="1:11">
      <c r="A691" s="1">
        <v>45672</v>
      </c>
      <c r="B691" t="s">
        <v>90</v>
      </c>
      <c r="C691" t="s">
        <v>104</v>
      </c>
      <c r="D691" t="s">
        <v>120</v>
      </c>
      <c r="E691" t="s">
        <v>182</v>
      </c>
      <c r="F691" t="s">
        <v>26</v>
      </c>
      <c r="G691" s="2">
        <v>100</v>
      </c>
      <c r="H691" t="s">
        <v>27</v>
      </c>
      <c r="I691" t="s">
        <v>181</v>
      </c>
      <c r="J691" t="s">
        <v>18</v>
      </c>
      <c r="K691" t="s">
        <v>19</v>
      </c>
    </row>
    <row r="692" spans="1:11">
      <c r="A692" s="1">
        <v>45672</v>
      </c>
      <c r="B692" t="s">
        <v>90</v>
      </c>
      <c r="C692" t="s">
        <v>104</v>
      </c>
      <c r="D692" t="s">
        <v>120</v>
      </c>
      <c r="E692" t="s">
        <v>183</v>
      </c>
      <c r="F692" t="s">
        <v>26</v>
      </c>
      <c r="G692" s="2">
        <v>117.5</v>
      </c>
      <c r="H692" t="s">
        <v>27</v>
      </c>
      <c r="I692" t="s">
        <v>181</v>
      </c>
      <c r="J692" t="s">
        <v>18</v>
      </c>
      <c r="K692" t="s">
        <v>19</v>
      </c>
    </row>
    <row r="693" spans="1:11">
      <c r="A693" s="1">
        <v>45672</v>
      </c>
      <c r="B693" t="s">
        <v>90</v>
      </c>
      <c r="C693" t="s">
        <v>104</v>
      </c>
      <c r="D693" t="s">
        <v>120</v>
      </c>
      <c r="E693" t="s">
        <v>25</v>
      </c>
      <c r="F693" t="s">
        <v>26</v>
      </c>
      <c r="G693" s="2">
        <v>165</v>
      </c>
      <c r="H693" t="s">
        <v>27</v>
      </c>
      <c r="I693" t="s">
        <v>181</v>
      </c>
      <c r="J693" t="s">
        <v>18</v>
      </c>
      <c r="K693" t="s">
        <v>19</v>
      </c>
    </row>
    <row r="694" spans="1:11">
      <c r="A694" s="1">
        <v>45672</v>
      </c>
      <c r="B694" t="s">
        <v>90</v>
      </c>
      <c r="C694" t="s">
        <v>104</v>
      </c>
      <c r="D694" t="s">
        <v>120</v>
      </c>
      <c r="E694" t="s">
        <v>184</v>
      </c>
      <c r="F694" t="s">
        <v>185</v>
      </c>
      <c r="G694" s="2">
        <v>312.5</v>
      </c>
      <c r="H694" t="s">
        <v>27</v>
      </c>
      <c r="I694" t="s">
        <v>181</v>
      </c>
      <c r="J694" t="s">
        <v>18</v>
      </c>
      <c r="K694" t="s">
        <v>19</v>
      </c>
    </row>
    <row r="695" spans="1:11">
      <c r="A695" s="1">
        <v>45672</v>
      </c>
      <c r="B695" t="s">
        <v>90</v>
      </c>
      <c r="C695" t="s">
        <v>104</v>
      </c>
      <c r="D695" t="s">
        <v>120</v>
      </c>
      <c r="E695" t="s">
        <v>186</v>
      </c>
      <c r="F695" t="s">
        <v>26</v>
      </c>
      <c r="G695" s="2">
        <v>130</v>
      </c>
      <c r="H695" t="s">
        <v>27</v>
      </c>
      <c r="I695" t="s">
        <v>181</v>
      </c>
      <c r="J695" t="s">
        <v>18</v>
      </c>
      <c r="K695" t="s">
        <v>19</v>
      </c>
    </row>
    <row r="696" spans="1:11">
      <c r="A696" s="1">
        <v>45703</v>
      </c>
      <c r="B696" t="s">
        <v>63</v>
      </c>
      <c r="C696" t="s">
        <v>64</v>
      </c>
      <c r="D696" t="s">
        <v>68</v>
      </c>
      <c r="E696" t="s">
        <v>180</v>
      </c>
      <c r="F696" t="s">
        <v>26</v>
      </c>
      <c r="G696" s="2">
        <v>98.64</v>
      </c>
      <c r="H696" t="s">
        <v>27</v>
      </c>
      <c r="I696" t="s">
        <v>181</v>
      </c>
      <c r="J696" t="s">
        <v>18</v>
      </c>
      <c r="K696" t="s">
        <v>19</v>
      </c>
    </row>
    <row r="697" spans="1:11">
      <c r="A697" s="1">
        <v>45703</v>
      </c>
      <c r="B697" t="s">
        <v>63</v>
      </c>
      <c r="C697" t="s">
        <v>64</v>
      </c>
      <c r="D697" t="s">
        <v>68</v>
      </c>
      <c r="E697" t="s">
        <v>182</v>
      </c>
      <c r="F697" t="s">
        <v>26</v>
      </c>
      <c r="G697" s="2">
        <v>60.78</v>
      </c>
      <c r="H697" t="s">
        <v>27</v>
      </c>
      <c r="I697" t="s">
        <v>181</v>
      </c>
      <c r="J697" t="s">
        <v>18</v>
      </c>
      <c r="K697" t="s">
        <v>19</v>
      </c>
    </row>
    <row r="698" spans="1:11">
      <c r="A698" s="1">
        <v>45703</v>
      </c>
      <c r="B698" t="s">
        <v>63</v>
      </c>
      <c r="C698" t="s">
        <v>64</v>
      </c>
      <c r="D698" t="s">
        <v>68</v>
      </c>
      <c r="E698" t="s">
        <v>183</v>
      </c>
      <c r="F698" t="s">
        <v>26</v>
      </c>
      <c r="G698" s="2">
        <v>121.44</v>
      </c>
      <c r="H698" t="s">
        <v>27</v>
      </c>
      <c r="I698" t="s">
        <v>181</v>
      </c>
      <c r="J698" t="s">
        <v>18</v>
      </c>
      <c r="K698" t="s">
        <v>19</v>
      </c>
    </row>
    <row r="699" spans="1:11">
      <c r="A699" s="1">
        <v>45703</v>
      </c>
      <c r="B699" t="s">
        <v>63</v>
      </c>
      <c r="C699" t="s">
        <v>64</v>
      </c>
      <c r="D699" t="s">
        <v>68</v>
      </c>
      <c r="E699" t="s">
        <v>25</v>
      </c>
      <c r="F699" t="s">
        <v>26</v>
      </c>
      <c r="G699" s="2">
        <v>123.57</v>
      </c>
      <c r="H699" t="s">
        <v>27</v>
      </c>
      <c r="I699" t="s">
        <v>181</v>
      </c>
      <c r="J699" t="s">
        <v>18</v>
      </c>
      <c r="K699" t="s">
        <v>19</v>
      </c>
    </row>
    <row r="700" spans="1:11">
      <c r="A700" s="1">
        <v>45703</v>
      </c>
      <c r="B700" t="s">
        <v>63</v>
      </c>
      <c r="C700" t="s">
        <v>64</v>
      </c>
      <c r="D700" t="s">
        <v>68</v>
      </c>
      <c r="E700" t="s">
        <v>184</v>
      </c>
      <c r="F700" t="s">
        <v>185</v>
      </c>
      <c r="G700" s="2">
        <v>264.48</v>
      </c>
      <c r="H700" t="s">
        <v>27</v>
      </c>
      <c r="I700" t="s">
        <v>181</v>
      </c>
      <c r="J700" t="s">
        <v>18</v>
      </c>
      <c r="K700" t="s">
        <v>19</v>
      </c>
    </row>
    <row r="701" spans="1:11">
      <c r="A701" s="1">
        <v>45703</v>
      </c>
      <c r="B701" t="s">
        <v>63</v>
      </c>
      <c r="C701" t="s">
        <v>64</v>
      </c>
      <c r="D701" t="s">
        <v>68</v>
      </c>
      <c r="E701" t="s">
        <v>186</v>
      </c>
      <c r="F701" t="s">
        <v>26</v>
      </c>
      <c r="G701" s="2">
        <v>123.96</v>
      </c>
      <c r="H701" t="s">
        <v>27</v>
      </c>
      <c r="I701" t="s">
        <v>181</v>
      </c>
      <c r="J701" t="s">
        <v>18</v>
      </c>
      <c r="K701" t="s">
        <v>19</v>
      </c>
    </row>
    <row r="702" spans="1:11">
      <c r="A702" s="1">
        <v>45703</v>
      </c>
      <c r="B702" t="s">
        <v>63</v>
      </c>
      <c r="C702" t="s">
        <v>64</v>
      </c>
      <c r="D702" t="s">
        <v>71</v>
      </c>
      <c r="E702" t="s">
        <v>180</v>
      </c>
      <c r="F702" t="s">
        <v>26</v>
      </c>
      <c r="G702" s="2">
        <v>96.36</v>
      </c>
      <c r="H702" t="s">
        <v>27</v>
      </c>
      <c r="I702" t="s">
        <v>181</v>
      </c>
      <c r="J702" t="s">
        <v>18</v>
      </c>
      <c r="K702" t="s">
        <v>19</v>
      </c>
    </row>
    <row r="703" spans="1:11">
      <c r="A703" s="1">
        <v>45703</v>
      </c>
      <c r="B703" t="s">
        <v>63</v>
      </c>
      <c r="C703" t="s">
        <v>64</v>
      </c>
      <c r="D703" t="s">
        <v>71</v>
      </c>
      <c r="E703" t="s">
        <v>182</v>
      </c>
      <c r="F703" t="s">
        <v>26</v>
      </c>
      <c r="G703" s="2">
        <v>68.69</v>
      </c>
      <c r="H703" t="s">
        <v>27</v>
      </c>
      <c r="I703" t="s">
        <v>181</v>
      </c>
      <c r="J703" t="s">
        <v>18</v>
      </c>
      <c r="K703" t="s">
        <v>19</v>
      </c>
    </row>
    <row r="704" spans="1:11">
      <c r="A704" s="1">
        <v>45703</v>
      </c>
      <c r="B704" t="s">
        <v>63</v>
      </c>
      <c r="C704" t="s">
        <v>64</v>
      </c>
      <c r="D704" t="s">
        <v>71</v>
      </c>
      <c r="E704" t="s">
        <v>183</v>
      </c>
      <c r="F704" t="s">
        <v>26</v>
      </c>
      <c r="G704" s="2">
        <v>108.14</v>
      </c>
      <c r="H704" t="s">
        <v>27</v>
      </c>
      <c r="I704" t="s">
        <v>181</v>
      </c>
      <c r="J704" t="s">
        <v>18</v>
      </c>
      <c r="K704" t="s">
        <v>19</v>
      </c>
    </row>
    <row r="705" spans="1:11">
      <c r="A705" s="1">
        <v>45703</v>
      </c>
      <c r="B705" t="s">
        <v>63</v>
      </c>
      <c r="C705" t="s">
        <v>64</v>
      </c>
      <c r="D705" t="s">
        <v>71</v>
      </c>
      <c r="E705" t="s">
        <v>25</v>
      </c>
      <c r="F705" t="s">
        <v>26</v>
      </c>
      <c r="G705" s="2">
        <v>122.66</v>
      </c>
      <c r="H705" t="s">
        <v>27</v>
      </c>
      <c r="I705" t="s">
        <v>181</v>
      </c>
      <c r="J705" t="s">
        <v>18</v>
      </c>
      <c r="K705" t="s">
        <v>19</v>
      </c>
    </row>
    <row r="706" spans="1:11">
      <c r="A706" s="1">
        <v>45703</v>
      </c>
      <c r="B706" t="s">
        <v>63</v>
      </c>
      <c r="C706" t="s">
        <v>64</v>
      </c>
      <c r="D706" t="s">
        <v>71</v>
      </c>
      <c r="E706" t="s">
        <v>184</v>
      </c>
      <c r="F706" t="s">
        <v>185</v>
      </c>
      <c r="G706" s="2">
        <v>287.63</v>
      </c>
      <c r="H706" t="s">
        <v>27</v>
      </c>
      <c r="I706" t="s">
        <v>181</v>
      </c>
      <c r="J706" t="s">
        <v>18</v>
      </c>
      <c r="K706" t="s">
        <v>19</v>
      </c>
    </row>
    <row r="707" spans="1:11">
      <c r="A707" s="1">
        <v>45703</v>
      </c>
      <c r="B707" t="s">
        <v>63</v>
      </c>
      <c r="C707" t="s">
        <v>64</v>
      </c>
      <c r="D707" t="s">
        <v>71</v>
      </c>
      <c r="E707" t="s">
        <v>186</v>
      </c>
      <c r="F707" t="s">
        <v>26</v>
      </c>
      <c r="G707" s="2">
        <v>121.56</v>
      </c>
      <c r="H707" t="s">
        <v>27</v>
      </c>
      <c r="I707" t="s">
        <v>181</v>
      </c>
      <c r="J707" t="s">
        <v>18</v>
      </c>
      <c r="K707" t="s">
        <v>19</v>
      </c>
    </row>
    <row r="708" spans="1:11">
      <c r="A708" s="1">
        <v>45703</v>
      </c>
      <c r="B708" t="s">
        <v>63</v>
      </c>
      <c r="C708" t="s">
        <v>64</v>
      </c>
      <c r="D708" t="s">
        <v>72</v>
      </c>
      <c r="E708" t="s">
        <v>180</v>
      </c>
      <c r="F708" t="s">
        <v>26</v>
      </c>
      <c r="G708" s="2">
        <v>100.38</v>
      </c>
      <c r="H708" t="s">
        <v>27</v>
      </c>
      <c r="I708" t="s">
        <v>181</v>
      </c>
      <c r="J708" t="s">
        <v>18</v>
      </c>
      <c r="K708" t="s">
        <v>19</v>
      </c>
    </row>
    <row r="709" spans="1:11">
      <c r="A709" s="1">
        <v>45703</v>
      </c>
      <c r="B709" t="s">
        <v>63</v>
      </c>
      <c r="C709" t="s">
        <v>64</v>
      </c>
      <c r="D709" t="s">
        <v>72</v>
      </c>
      <c r="E709" t="s">
        <v>182</v>
      </c>
      <c r="F709" t="s">
        <v>26</v>
      </c>
      <c r="G709" s="2">
        <v>61.4</v>
      </c>
      <c r="H709" t="s">
        <v>27</v>
      </c>
      <c r="I709" t="s">
        <v>181</v>
      </c>
      <c r="J709" t="s">
        <v>18</v>
      </c>
      <c r="K709" t="s">
        <v>19</v>
      </c>
    </row>
    <row r="710" spans="1:11">
      <c r="A710" s="1">
        <v>45703</v>
      </c>
      <c r="B710" t="s">
        <v>63</v>
      </c>
      <c r="C710" t="s">
        <v>64</v>
      </c>
      <c r="D710" t="s">
        <v>72</v>
      </c>
      <c r="E710" t="s">
        <v>183</v>
      </c>
      <c r="F710" t="s">
        <v>26</v>
      </c>
      <c r="G710" s="2">
        <v>117.93</v>
      </c>
      <c r="H710" t="s">
        <v>27</v>
      </c>
      <c r="I710" t="s">
        <v>181</v>
      </c>
      <c r="J710" t="s">
        <v>18</v>
      </c>
      <c r="K710" t="s">
        <v>19</v>
      </c>
    </row>
    <row r="711" spans="1:11">
      <c r="A711" s="1">
        <v>45703</v>
      </c>
      <c r="B711" t="s">
        <v>63</v>
      </c>
      <c r="C711" t="s">
        <v>64</v>
      </c>
      <c r="D711" t="s">
        <v>72</v>
      </c>
      <c r="E711" t="s">
        <v>25</v>
      </c>
      <c r="F711" t="s">
        <v>26</v>
      </c>
      <c r="G711" s="2">
        <v>121.12</v>
      </c>
      <c r="H711" t="s">
        <v>27</v>
      </c>
      <c r="I711" t="s">
        <v>181</v>
      </c>
      <c r="J711" t="s">
        <v>18</v>
      </c>
      <c r="K711" t="s">
        <v>19</v>
      </c>
    </row>
    <row r="712" spans="1:11">
      <c r="A712" s="1">
        <v>45703</v>
      </c>
      <c r="B712" t="s">
        <v>63</v>
      </c>
      <c r="C712" t="s">
        <v>64</v>
      </c>
      <c r="D712" t="s">
        <v>72</v>
      </c>
      <c r="E712" t="s">
        <v>184</v>
      </c>
      <c r="F712" t="s">
        <v>185</v>
      </c>
      <c r="G712" s="2">
        <v>282.59</v>
      </c>
      <c r="H712" t="s">
        <v>27</v>
      </c>
      <c r="I712" t="s">
        <v>181</v>
      </c>
      <c r="J712" t="s">
        <v>18</v>
      </c>
      <c r="K712" t="s">
        <v>19</v>
      </c>
    </row>
    <row r="713" spans="1:11">
      <c r="A713" s="1">
        <v>45703</v>
      </c>
      <c r="B713" t="s">
        <v>63</v>
      </c>
      <c r="C713" t="s">
        <v>64</v>
      </c>
      <c r="D713" t="s">
        <v>72</v>
      </c>
      <c r="E713" t="s">
        <v>186</v>
      </c>
      <c r="F713" t="s">
        <v>26</v>
      </c>
      <c r="G713" s="2">
        <v>119.8</v>
      </c>
      <c r="H713" t="s">
        <v>27</v>
      </c>
      <c r="I713" t="s">
        <v>181</v>
      </c>
      <c r="J713" t="s">
        <v>18</v>
      </c>
      <c r="K713" t="s">
        <v>19</v>
      </c>
    </row>
    <row r="714" spans="1:11">
      <c r="A714" s="1">
        <v>45703</v>
      </c>
      <c r="B714" t="s">
        <v>90</v>
      </c>
      <c r="C714" t="s">
        <v>104</v>
      </c>
      <c r="D714" t="s">
        <v>108</v>
      </c>
      <c r="E714" t="s">
        <v>180</v>
      </c>
      <c r="F714" t="s">
        <v>26</v>
      </c>
      <c r="G714" s="2">
        <v>85</v>
      </c>
      <c r="H714" t="s">
        <v>27</v>
      </c>
      <c r="I714" t="s">
        <v>181</v>
      </c>
      <c r="J714" t="s">
        <v>18</v>
      </c>
      <c r="K714" t="s">
        <v>19</v>
      </c>
    </row>
    <row r="715" spans="1:11">
      <c r="A715" s="1">
        <v>45703</v>
      </c>
      <c r="B715" t="s">
        <v>90</v>
      </c>
      <c r="C715" t="s">
        <v>104</v>
      </c>
      <c r="D715" t="s">
        <v>108</v>
      </c>
      <c r="E715" t="s">
        <v>182</v>
      </c>
      <c r="F715" t="s">
        <v>26</v>
      </c>
      <c r="G715" s="2">
        <v>70</v>
      </c>
      <c r="H715" t="s">
        <v>27</v>
      </c>
      <c r="I715" t="s">
        <v>181</v>
      </c>
      <c r="J715" t="s">
        <v>18</v>
      </c>
      <c r="K715" t="s">
        <v>19</v>
      </c>
    </row>
    <row r="716" spans="1:11">
      <c r="A716" s="1">
        <v>45703</v>
      </c>
      <c r="B716" t="s">
        <v>90</v>
      </c>
      <c r="C716" t="s">
        <v>104</v>
      </c>
      <c r="D716" t="s">
        <v>108</v>
      </c>
      <c r="E716" t="s">
        <v>183</v>
      </c>
      <c r="F716" t="s">
        <v>26</v>
      </c>
      <c r="G716" s="2">
        <v>150</v>
      </c>
      <c r="H716" t="s">
        <v>27</v>
      </c>
      <c r="I716" t="s">
        <v>181</v>
      </c>
      <c r="J716" t="s">
        <v>18</v>
      </c>
      <c r="K716" t="s">
        <v>19</v>
      </c>
    </row>
    <row r="717" spans="1:11">
      <c r="A717" s="1">
        <v>45703</v>
      </c>
      <c r="B717" t="s">
        <v>90</v>
      </c>
      <c r="C717" t="s">
        <v>104</v>
      </c>
      <c r="D717" t="s">
        <v>108</v>
      </c>
      <c r="E717" t="s">
        <v>25</v>
      </c>
      <c r="F717" t="s">
        <v>26</v>
      </c>
      <c r="G717" s="2">
        <v>175</v>
      </c>
      <c r="H717" t="s">
        <v>27</v>
      </c>
      <c r="I717" t="s">
        <v>181</v>
      </c>
      <c r="J717" t="s">
        <v>18</v>
      </c>
      <c r="K717" t="s">
        <v>19</v>
      </c>
    </row>
    <row r="718" spans="1:11">
      <c r="A718" s="1">
        <v>45703</v>
      </c>
      <c r="B718" t="s">
        <v>90</v>
      </c>
      <c r="C718" t="s">
        <v>104</v>
      </c>
      <c r="D718" t="s">
        <v>108</v>
      </c>
      <c r="E718" t="s">
        <v>184</v>
      </c>
      <c r="F718" t="s">
        <v>185</v>
      </c>
      <c r="G718" s="2">
        <v>325</v>
      </c>
      <c r="H718" t="s">
        <v>27</v>
      </c>
      <c r="I718" t="s">
        <v>181</v>
      </c>
      <c r="J718" t="s">
        <v>18</v>
      </c>
      <c r="K718" t="s">
        <v>19</v>
      </c>
    </row>
    <row r="719" spans="1:11">
      <c r="A719" s="1">
        <v>45703</v>
      </c>
      <c r="B719" t="s">
        <v>90</v>
      </c>
      <c r="C719" t="s">
        <v>104</v>
      </c>
      <c r="D719" t="s">
        <v>108</v>
      </c>
      <c r="E719" t="s">
        <v>186</v>
      </c>
      <c r="F719" t="s">
        <v>26</v>
      </c>
      <c r="G719" s="2">
        <v>155</v>
      </c>
      <c r="H719" t="s">
        <v>27</v>
      </c>
      <c r="I719" t="s">
        <v>181</v>
      </c>
      <c r="J719" t="s">
        <v>18</v>
      </c>
      <c r="K719" t="s">
        <v>19</v>
      </c>
    </row>
    <row r="720" spans="1:11">
      <c r="A720" s="1">
        <v>45703</v>
      </c>
      <c r="B720" t="s">
        <v>90</v>
      </c>
      <c r="C720" t="s">
        <v>104</v>
      </c>
      <c r="D720" t="s">
        <v>109</v>
      </c>
      <c r="E720" t="s">
        <v>180</v>
      </c>
      <c r="F720" t="s">
        <v>26</v>
      </c>
      <c r="G720" s="2">
        <v>77.5</v>
      </c>
      <c r="H720" t="s">
        <v>27</v>
      </c>
      <c r="I720" t="s">
        <v>181</v>
      </c>
      <c r="J720" t="s">
        <v>18</v>
      </c>
      <c r="K720" t="s">
        <v>19</v>
      </c>
    </row>
    <row r="721" spans="1:11">
      <c r="A721" s="1">
        <v>45703</v>
      </c>
      <c r="B721" t="s">
        <v>90</v>
      </c>
      <c r="C721" t="s">
        <v>104</v>
      </c>
      <c r="D721" t="s">
        <v>109</v>
      </c>
      <c r="E721" t="s">
        <v>182</v>
      </c>
      <c r="F721" t="s">
        <v>26</v>
      </c>
      <c r="G721" s="2">
        <v>80</v>
      </c>
      <c r="H721" t="s">
        <v>27</v>
      </c>
      <c r="I721" t="s">
        <v>181</v>
      </c>
      <c r="J721" t="s">
        <v>18</v>
      </c>
      <c r="K721" t="s">
        <v>19</v>
      </c>
    </row>
    <row r="722" spans="1:11">
      <c r="A722" s="1">
        <v>45703</v>
      </c>
      <c r="B722" t="s">
        <v>90</v>
      </c>
      <c r="C722" t="s">
        <v>104</v>
      </c>
      <c r="D722" t="s">
        <v>109</v>
      </c>
      <c r="E722" t="s">
        <v>183</v>
      </c>
      <c r="F722" t="s">
        <v>26</v>
      </c>
      <c r="G722" s="2">
        <v>135</v>
      </c>
      <c r="H722" t="s">
        <v>27</v>
      </c>
      <c r="I722" t="s">
        <v>181</v>
      </c>
      <c r="J722" t="s">
        <v>18</v>
      </c>
      <c r="K722" t="s">
        <v>19</v>
      </c>
    </row>
    <row r="723" spans="1:11">
      <c r="A723" s="1">
        <v>45703</v>
      </c>
      <c r="B723" t="s">
        <v>90</v>
      </c>
      <c r="C723" t="s">
        <v>104</v>
      </c>
      <c r="D723" t="s">
        <v>109</v>
      </c>
      <c r="E723" t="s">
        <v>25</v>
      </c>
      <c r="F723" t="s">
        <v>26</v>
      </c>
      <c r="G723" s="2">
        <v>165</v>
      </c>
      <c r="H723" t="s">
        <v>27</v>
      </c>
      <c r="I723" t="s">
        <v>181</v>
      </c>
      <c r="J723" t="s">
        <v>18</v>
      </c>
      <c r="K723" t="s">
        <v>19</v>
      </c>
    </row>
    <row r="724" spans="1:11">
      <c r="A724" s="1">
        <v>45703</v>
      </c>
      <c r="B724" t="s">
        <v>90</v>
      </c>
      <c r="C724" t="s">
        <v>104</v>
      </c>
      <c r="D724" t="s">
        <v>109</v>
      </c>
      <c r="E724" t="s">
        <v>184</v>
      </c>
      <c r="F724" t="s">
        <v>185</v>
      </c>
      <c r="G724" s="2">
        <v>312.5</v>
      </c>
      <c r="H724" t="s">
        <v>27</v>
      </c>
      <c r="I724" t="s">
        <v>181</v>
      </c>
      <c r="J724" t="s">
        <v>18</v>
      </c>
      <c r="K724" t="s">
        <v>19</v>
      </c>
    </row>
    <row r="725" spans="1:11">
      <c r="A725" s="1">
        <v>45703</v>
      </c>
      <c r="B725" t="s">
        <v>90</v>
      </c>
      <c r="C725" t="s">
        <v>104</v>
      </c>
      <c r="D725" t="s">
        <v>109</v>
      </c>
      <c r="E725" t="s">
        <v>186</v>
      </c>
      <c r="F725" t="s">
        <v>26</v>
      </c>
      <c r="G725" s="2">
        <v>170</v>
      </c>
      <c r="H725" t="s">
        <v>27</v>
      </c>
      <c r="I725" t="s">
        <v>181</v>
      </c>
      <c r="J725" t="s">
        <v>18</v>
      </c>
      <c r="K725" t="s">
        <v>19</v>
      </c>
    </row>
    <row r="726" spans="1:11">
      <c r="A726" s="1">
        <v>45703</v>
      </c>
      <c r="B726" t="s">
        <v>90</v>
      </c>
      <c r="C726" t="s">
        <v>104</v>
      </c>
      <c r="D726" t="s">
        <v>112</v>
      </c>
      <c r="E726" t="s">
        <v>180</v>
      </c>
      <c r="F726" t="s">
        <v>26</v>
      </c>
      <c r="G726" s="2">
        <v>73.33</v>
      </c>
      <c r="H726" t="s">
        <v>27</v>
      </c>
      <c r="I726" t="s">
        <v>181</v>
      </c>
      <c r="J726" t="s">
        <v>18</v>
      </c>
      <c r="K726" t="s">
        <v>19</v>
      </c>
    </row>
    <row r="727" spans="1:11">
      <c r="A727" s="1">
        <v>45703</v>
      </c>
      <c r="B727" t="s">
        <v>90</v>
      </c>
      <c r="C727" t="s">
        <v>104</v>
      </c>
      <c r="D727" t="s">
        <v>112</v>
      </c>
      <c r="E727" t="s">
        <v>182</v>
      </c>
      <c r="F727" t="s">
        <v>26</v>
      </c>
      <c r="G727" s="2">
        <v>73.33</v>
      </c>
      <c r="H727" t="s">
        <v>27</v>
      </c>
      <c r="I727" t="s">
        <v>181</v>
      </c>
      <c r="J727" t="s">
        <v>18</v>
      </c>
      <c r="K727" t="s">
        <v>19</v>
      </c>
    </row>
    <row r="728" spans="1:11">
      <c r="A728" s="1">
        <v>45703</v>
      </c>
      <c r="B728" t="s">
        <v>90</v>
      </c>
      <c r="C728" t="s">
        <v>104</v>
      </c>
      <c r="D728" t="s">
        <v>112</v>
      </c>
      <c r="E728" t="s">
        <v>183</v>
      </c>
      <c r="F728" t="s">
        <v>26</v>
      </c>
      <c r="G728" s="2">
        <v>153.33</v>
      </c>
      <c r="H728" t="s">
        <v>27</v>
      </c>
      <c r="I728" t="s">
        <v>181</v>
      </c>
      <c r="J728" t="s">
        <v>18</v>
      </c>
      <c r="K728" t="s">
        <v>19</v>
      </c>
    </row>
    <row r="729" spans="1:11">
      <c r="A729" s="1">
        <v>45703</v>
      </c>
      <c r="B729" t="s">
        <v>90</v>
      </c>
      <c r="C729" t="s">
        <v>104</v>
      </c>
      <c r="D729" t="s">
        <v>112</v>
      </c>
      <c r="E729" t="s">
        <v>25</v>
      </c>
      <c r="F729" t="s">
        <v>26</v>
      </c>
      <c r="G729" s="2">
        <v>156.67</v>
      </c>
      <c r="H729" t="s">
        <v>27</v>
      </c>
      <c r="I729" t="s">
        <v>181</v>
      </c>
      <c r="J729" t="s">
        <v>18</v>
      </c>
      <c r="K729" t="s">
        <v>19</v>
      </c>
    </row>
    <row r="730" spans="1:11">
      <c r="A730" s="1">
        <v>45703</v>
      </c>
      <c r="B730" t="s">
        <v>90</v>
      </c>
      <c r="C730" t="s">
        <v>104</v>
      </c>
      <c r="D730" t="s">
        <v>112</v>
      </c>
      <c r="E730" t="s">
        <v>184</v>
      </c>
      <c r="F730" t="s">
        <v>185</v>
      </c>
      <c r="G730" s="2">
        <v>266.67</v>
      </c>
      <c r="H730" t="s">
        <v>27</v>
      </c>
      <c r="I730" t="s">
        <v>181</v>
      </c>
      <c r="J730" t="s">
        <v>18</v>
      </c>
      <c r="K730" t="s">
        <v>19</v>
      </c>
    </row>
    <row r="731" spans="1:11">
      <c r="A731" s="1">
        <v>45703</v>
      </c>
      <c r="B731" t="s">
        <v>90</v>
      </c>
      <c r="C731" t="s">
        <v>104</v>
      </c>
      <c r="D731" t="s">
        <v>112</v>
      </c>
      <c r="E731" t="s">
        <v>186</v>
      </c>
      <c r="F731" t="s">
        <v>26</v>
      </c>
      <c r="G731" s="2">
        <v>133.33</v>
      </c>
      <c r="H731" t="s">
        <v>27</v>
      </c>
      <c r="I731" t="s">
        <v>181</v>
      </c>
      <c r="J731" t="s">
        <v>18</v>
      </c>
      <c r="K731" t="s">
        <v>19</v>
      </c>
    </row>
    <row r="732" spans="1:11">
      <c r="A732" s="1">
        <v>45703</v>
      </c>
      <c r="B732" t="s">
        <v>90</v>
      </c>
      <c r="C732" t="s">
        <v>104</v>
      </c>
      <c r="D732" t="s">
        <v>113</v>
      </c>
      <c r="E732" t="s">
        <v>180</v>
      </c>
      <c r="F732" t="s">
        <v>26</v>
      </c>
      <c r="G732" s="2">
        <v>80</v>
      </c>
      <c r="H732" t="s">
        <v>27</v>
      </c>
      <c r="I732" t="s">
        <v>181</v>
      </c>
      <c r="J732" t="s">
        <v>18</v>
      </c>
      <c r="K732" t="s">
        <v>19</v>
      </c>
    </row>
    <row r="733" spans="1:11">
      <c r="A733" s="1">
        <v>45703</v>
      </c>
      <c r="B733" t="s">
        <v>90</v>
      </c>
      <c r="C733" t="s">
        <v>104</v>
      </c>
      <c r="D733" t="s">
        <v>113</v>
      </c>
      <c r="E733" t="s">
        <v>182</v>
      </c>
      <c r="F733" t="s">
        <v>26</v>
      </c>
      <c r="G733" s="2">
        <v>76.67</v>
      </c>
      <c r="H733" t="s">
        <v>27</v>
      </c>
      <c r="I733" t="s">
        <v>181</v>
      </c>
      <c r="J733" t="s">
        <v>18</v>
      </c>
      <c r="K733" t="s">
        <v>19</v>
      </c>
    </row>
    <row r="734" spans="1:11">
      <c r="A734" s="1">
        <v>45703</v>
      </c>
      <c r="B734" t="s">
        <v>90</v>
      </c>
      <c r="C734" t="s">
        <v>104</v>
      </c>
      <c r="D734" t="s">
        <v>113</v>
      </c>
      <c r="E734" t="s">
        <v>183</v>
      </c>
      <c r="F734" t="s">
        <v>26</v>
      </c>
      <c r="G734" s="2">
        <v>176.67</v>
      </c>
      <c r="H734" t="s">
        <v>27</v>
      </c>
      <c r="I734" t="s">
        <v>181</v>
      </c>
      <c r="J734" t="s">
        <v>18</v>
      </c>
      <c r="K734" t="s">
        <v>19</v>
      </c>
    </row>
    <row r="735" spans="1:11">
      <c r="A735" s="1">
        <v>45703</v>
      </c>
      <c r="B735" t="s">
        <v>90</v>
      </c>
      <c r="C735" t="s">
        <v>104</v>
      </c>
      <c r="D735" t="s">
        <v>113</v>
      </c>
      <c r="E735" t="s">
        <v>25</v>
      </c>
      <c r="F735" t="s">
        <v>26</v>
      </c>
      <c r="G735" s="2">
        <v>160</v>
      </c>
      <c r="H735" t="s">
        <v>27</v>
      </c>
      <c r="I735" t="s">
        <v>181</v>
      </c>
      <c r="J735" t="s">
        <v>18</v>
      </c>
      <c r="K735" t="s">
        <v>19</v>
      </c>
    </row>
    <row r="736" spans="1:11">
      <c r="A736" s="1">
        <v>45703</v>
      </c>
      <c r="B736" t="s">
        <v>90</v>
      </c>
      <c r="C736" t="s">
        <v>104</v>
      </c>
      <c r="D736" t="s">
        <v>113</v>
      </c>
      <c r="E736" t="s">
        <v>184</v>
      </c>
      <c r="F736" t="s">
        <v>185</v>
      </c>
      <c r="G736" s="2">
        <v>276.67</v>
      </c>
      <c r="H736" t="s">
        <v>27</v>
      </c>
      <c r="I736" t="s">
        <v>181</v>
      </c>
      <c r="J736" t="s">
        <v>18</v>
      </c>
      <c r="K736" t="s">
        <v>19</v>
      </c>
    </row>
    <row r="737" spans="1:11">
      <c r="A737" s="1">
        <v>45703</v>
      </c>
      <c r="B737" t="s">
        <v>90</v>
      </c>
      <c r="C737" t="s">
        <v>104</v>
      </c>
      <c r="D737" t="s">
        <v>113</v>
      </c>
      <c r="E737" t="s">
        <v>186</v>
      </c>
      <c r="F737" t="s">
        <v>26</v>
      </c>
      <c r="G737" s="2">
        <v>150</v>
      </c>
      <c r="H737" t="s">
        <v>27</v>
      </c>
      <c r="I737" t="s">
        <v>181</v>
      </c>
      <c r="J737" t="s">
        <v>18</v>
      </c>
      <c r="K737" t="s">
        <v>19</v>
      </c>
    </row>
    <row r="738" spans="1:11">
      <c r="A738" s="1">
        <v>45703</v>
      </c>
      <c r="B738" t="s">
        <v>90</v>
      </c>
      <c r="C738" t="s">
        <v>104</v>
      </c>
      <c r="D738" t="s">
        <v>114</v>
      </c>
      <c r="E738" t="s">
        <v>180</v>
      </c>
      <c r="F738" t="s">
        <v>26</v>
      </c>
      <c r="G738" s="2">
        <v>70</v>
      </c>
      <c r="H738" t="s">
        <v>27</v>
      </c>
      <c r="I738" t="s">
        <v>181</v>
      </c>
      <c r="J738" t="s">
        <v>18</v>
      </c>
      <c r="K738" t="s">
        <v>19</v>
      </c>
    </row>
    <row r="739" spans="1:11">
      <c r="A739" s="1">
        <v>45703</v>
      </c>
      <c r="B739" t="s">
        <v>90</v>
      </c>
      <c r="C739" t="s">
        <v>104</v>
      </c>
      <c r="D739" t="s">
        <v>114</v>
      </c>
      <c r="E739" t="s">
        <v>182</v>
      </c>
      <c r="F739" t="s">
        <v>26</v>
      </c>
      <c r="G739" s="2">
        <v>93.33</v>
      </c>
      <c r="H739" t="s">
        <v>27</v>
      </c>
      <c r="I739" t="s">
        <v>181</v>
      </c>
      <c r="J739" t="s">
        <v>18</v>
      </c>
      <c r="K739" t="s">
        <v>19</v>
      </c>
    </row>
    <row r="740" spans="1:11">
      <c r="A740" s="1">
        <v>45703</v>
      </c>
      <c r="B740" t="s">
        <v>90</v>
      </c>
      <c r="C740" t="s">
        <v>104</v>
      </c>
      <c r="D740" t="s">
        <v>114</v>
      </c>
      <c r="E740" t="s">
        <v>183</v>
      </c>
      <c r="F740" t="s">
        <v>26</v>
      </c>
      <c r="G740" s="2">
        <v>123.33</v>
      </c>
      <c r="H740" t="s">
        <v>27</v>
      </c>
      <c r="I740" t="s">
        <v>181</v>
      </c>
      <c r="J740" t="s">
        <v>18</v>
      </c>
      <c r="K740" t="s">
        <v>19</v>
      </c>
    </row>
    <row r="741" spans="1:11">
      <c r="A741" s="1">
        <v>45703</v>
      </c>
      <c r="B741" t="s">
        <v>90</v>
      </c>
      <c r="C741" t="s">
        <v>104</v>
      </c>
      <c r="D741" t="s">
        <v>114</v>
      </c>
      <c r="E741" t="s">
        <v>25</v>
      </c>
      <c r="F741" t="s">
        <v>26</v>
      </c>
      <c r="G741" s="2">
        <v>170</v>
      </c>
      <c r="H741" t="s">
        <v>27</v>
      </c>
      <c r="I741" t="s">
        <v>181</v>
      </c>
      <c r="J741" t="s">
        <v>18</v>
      </c>
      <c r="K741" t="s">
        <v>19</v>
      </c>
    </row>
    <row r="742" spans="1:11">
      <c r="A742" s="1">
        <v>45703</v>
      </c>
      <c r="B742" t="s">
        <v>90</v>
      </c>
      <c r="C742" t="s">
        <v>104</v>
      </c>
      <c r="D742" t="s">
        <v>114</v>
      </c>
      <c r="E742" t="s">
        <v>184</v>
      </c>
      <c r="F742" t="s">
        <v>185</v>
      </c>
      <c r="G742" s="2">
        <v>300</v>
      </c>
      <c r="H742" t="s">
        <v>27</v>
      </c>
      <c r="I742" t="s">
        <v>181</v>
      </c>
      <c r="J742" t="s">
        <v>18</v>
      </c>
      <c r="K742" t="s">
        <v>19</v>
      </c>
    </row>
    <row r="743" spans="1:11">
      <c r="A743" s="1">
        <v>45703</v>
      </c>
      <c r="B743" t="s">
        <v>90</v>
      </c>
      <c r="C743" t="s">
        <v>104</v>
      </c>
      <c r="D743" t="s">
        <v>114</v>
      </c>
      <c r="E743" t="s">
        <v>186</v>
      </c>
      <c r="F743" t="s">
        <v>26</v>
      </c>
      <c r="G743" s="2">
        <v>150</v>
      </c>
      <c r="H743" t="s">
        <v>27</v>
      </c>
      <c r="I743" t="s">
        <v>181</v>
      </c>
      <c r="J743" t="s">
        <v>18</v>
      </c>
      <c r="K743" t="s">
        <v>19</v>
      </c>
    </row>
    <row r="744" spans="1:11">
      <c r="A744" s="1">
        <v>45703</v>
      </c>
      <c r="B744" t="s">
        <v>90</v>
      </c>
      <c r="C744" t="s">
        <v>104</v>
      </c>
      <c r="D744" t="s">
        <v>118</v>
      </c>
      <c r="E744" t="s">
        <v>180</v>
      </c>
      <c r="F744" t="s">
        <v>26</v>
      </c>
      <c r="G744" s="2">
        <v>80</v>
      </c>
      <c r="H744" t="s">
        <v>27</v>
      </c>
      <c r="I744" t="s">
        <v>181</v>
      </c>
      <c r="J744" t="s">
        <v>18</v>
      </c>
      <c r="K744" t="s">
        <v>19</v>
      </c>
    </row>
    <row r="745" spans="1:11">
      <c r="A745" s="1">
        <v>45703</v>
      </c>
      <c r="B745" t="s">
        <v>90</v>
      </c>
      <c r="C745" t="s">
        <v>104</v>
      </c>
      <c r="D745" t="s">
        <v>118</v>
      </c>
      <c r="E745" t="s">
        <v>182</v>
      </c>
      <c r="F745" t="s">
        <v>26</v>
      </c>
      <c r="G745" s="2">
        <v>100</v>
      </c>
      <c r="H745" t="s">
        <v>27</v>
      </c>
      <c r="I745" t="s">
        <v>181</v>
      </c>
      <c r="J745" t="s">
        <v>18</v>
      </c>
      <c r="K745" t="s">
        <v>19</v>
      </c>
    </row>
    <row r="746" spans="1:11">
      <c r="A746" s="1">
        <v>45703</v>
      </c>
      <c r="B746" t="s">
        <v>90</v>
      </c>
      <c r="C746" t="s">
        <v>104</v>
      </c>
      <c r="D746" t="s">
        <v>118</v>
      </c>
      <c r="E746" t="s">
        <v>183</v>
      </c>
      <c r="F746" t="s">
        <v>26</v>
      </c>
      <c r="G746" s="2">
        <v>116.67</v>
      </c>
      <c r="H746" t="s">
        <v>27</v>
      </c>
      <c r="I746" t="s">
        <v>181</v>
      </c>
      <c r="J746" t="s">
        <v>18</v>
      </c>
      <c r="K746" t="s">
        <v>19</v>
      </c>
    </row>
    <row r="747" spans="1:11">
      <c r="A747" s="1">
        <v>45703</v>
      </c>
      <c r="B747" t="s">
        <v>90</v>
      </c>
      <c r="C747" t="s">
        <v>104</v>
      </c>
      <c r="D747" t="s">
        <v>118</v>
      </c>
      <c r="E747" t="s">
        <v>25</v>
      </c>
      <c r="F747" t="s">
        <v>26</v>
      </c>
      <c r="G747" s="2">
        <v>175</v>
      </c>
      <c r="H747" t="s">
        <v>27</v>
      </c>
      <c r="I747" t="s">
        <v>181</v>
      </c>
      <c r="J747" t="s">
        <v>18</v>
      </c>
      <c r="K747" t="s">
        <v>19</v>
      </c>
    </row>
    <row r="748" spans="1:11">
      <c r="A748" s="1">
        <v>45703</v>
      </c>
      <c r="B748" t="s">
        <v>90</v>
      </c>
      <c r="C748" t="s">
        <v>104</v>
      </c>
      <c r="D748" t="s">
        <v>118</v>
      </c>
      <c r="E748" t="s">
        <v>184</v>
      </c>
      <c r="F748" t="s">
        <v>185</v>
      </c>
      <c r="G748" s="2">
        <v>316.67</v>
      </c>
      <c r="H748" t="s">
        <v>27</v>
      </c>
      <c r="I748" t="s">
        <v>181</v>
      </c>
      <c r="J748" t="s">
        <v>18</v>
      </c>
      <c r="K748" t="s">
        <v>19</v>
      </c>
    </row>
    <row r="749" spans="1:11">
      <c r="A749" s="1">
        <v>45703</v>
      </c>
      <c r="B749" t="s">
        <v>90</v>
      </c>
      <c r="C749" t="s">
        <v>104</v>
      </c>
      <c r="D749" t="s">
        <v>118</v>
      </c>
      <c r="E749" t="s">
        <v>186</v>
      </c>
      <c r="F749" t="s">
        <v>26</v>
      </c>
      <c r="G749" s="2">
        <v>133.33</v>
      </c>
      <c r="H749" t="s">
        <v>27</v>
      </c>
      <c r="I749" t="s">
        <v>181</v>
      </c>
      <c r="J749" t="s">
        <v>18</v>
      </c>
      <c r="K749" t="s">
        <v>19</v>
      </c>
    </row>
    <row r="750" spans="1:11">
      <c r="A750" s="1">
        <v>45703</v>
      </c>
      <c r="B750" t="s">
        <v>90</v>
      </c>
      <c r="C750" t="s">
        <v>104</v>
      </c>
      <c r="D750" t="s">
        <v>119</v>
      </c>
      <c r="E750" t="s">
        <v>180</v>
      </c>
      <c r="F750" t="s">
        <v>26</v>
      </c>
      <c r="G750" s="2">
        <v>80</v>
      </c>
      <c r="H750" t="s">
        <v>27</v>
      </c>
      <c r="I750" t="s">
        <v>181</v>
      </c>
      <c r="J750" t="s">
        <v>18</v>
      </c>
      <c r="K750" t="s">
        <v>19</v>
      </c>
    </row>
    <row r="751" spans="1:11">
      <c r="A751" s="1">
        <v>45703</v>
      </c>
      <c r="B751" t="s">
        <v>90</v>
      </c>
      <c r="C751" t="s">
        <v>104</v>
      </c>
      <c r="D751" t="s">
        <v>119</v>
      </c>
      <c r="E751" t="s">
        <v>182</v>
      </c>
      <c r="F751" t="s">
        <v>26</v>
      </c>
      <c r="G751" s="2">
        <v>96.67</v>
      </c>
      <c r="H751" t="s">
        <v>27</v>
      </c>
      <c r="I751" t="s">
        <v>181</v>
      </c>
      <c r="J751" t="s">
        <v>18</v>
      </c>
      <c r="K751" t="s">
        <v>19</v>
      </c>
    </row>
    <row r="752" spans="1:11">
      <c r="A752" s="1">
        <v>45703</v>
      </c>
      <c r="B752" t="s">
        <v>90</v>
      </c>
      <c r="C752" t="s">
        <v>104</v>
      </c>
      <c r="D752" t="s">
        <v>119</v>
      </c>
      <c r="E752" t="s">
        <v>183</v>
      </c>
      <c r="F752" t="s">
        <v>26</v>
      </c>
      <c r="G752" s="2">
        <v>176.67</v>
      </c>
      <c r="H752" t="s">
        <v>27</v>
      </c>
      <c r="I752" t="s">
        <v>181</v>
      </c>
      <c r="J752" t="s">
        <v>18</v>
      </c>
      <c r="K752" t="s">
        <v>19</v>
      </c>
    </row>
    <row r="753" spans="1:11">
      <c r="A753" s="1">
        <v>45703</v>
      </c>
      <c r="B753" t="s">
        <v>90</v>
      </c>
      <c r="C753" t="s">
        <v>104</v>
      </c>
      <c r="D753" t="s">
        <v>119</v>
      </c>
      <c r="E753" t="s">
        <v>25</v>
      </c>
      <c r="F753" t="s">
        <v>26</v>
      </c>
      <c r="G753" s="2">
        <v>183.33</v>
      </c>
      <c r="H753" t="s">
        <v>27</v>
      </c>
      <c r="I753" t="s">
        <v>181</v>
      </c>
      <c r="J753" t="s">
        <v>18</v>
      </c>
      <c r="K753" t="s">
        <v>19</v>
      </c>
    </row>
    <row r="754" spans="1:11">
      <c r="A754" s="1">
        <v>45703</v>
      </c>
      <c r="B754" t="s">
        <v>90</v>
      </c>
      <c r="C754" t="s">
        <v>104</v>
      </c>
      <c r="D754" t="s">
        <v>119</v>
      </c>
      <c r="E754" t="s">
        <v>184</v>
      </c>
      <c r="F754" t="s">
        <v>185</v>
      </c>
      <c r="G754" s="2">
        <v>333.33</v>
      </c>
      <c r="H754" t="s">
        <v>27</v>
      </c>
      <c r="I754" t="s">
        <v>181</v>
      </c>
      <c r="J754" t="s">
        <v>18</v>
      </c>
      <c r="K754" t="s">
        <v>19</v>
      </c>
    </row>
    <row r="755" spans="1:11">
      <c r="A755" s="1">
        <v>45703</v>
      </c>
      <c r="B755" t="s">
        <v>90</v>
      </c>
      <c r="C755" t="s">
        <v>104</v>
      </c>
      <c r="D755" t="s">
        <v>119</v>
      </c>
      <c r="E755" t="s">
        <v>186</v>
      </c>
      <c r="F755" t="s">
        <v>26</v>
      </c>
      <c r="G755" s="2">
        <v>166.67</v>
      </c>
      <c r="H755" t="s">
        <v>27</v>
      </c>
      <c r="I755" t="s">
        <v>181</v>
      </c>
      <c r="J755" t="s">
        <v>18</v>
      </c>
      <c r="K755" t="s">
        <v>19</v>
      </c>
    </row>
    <row r="756" spans="1:11">
      <c r="A756" s="1">
        <v>45703</v>
      </c>
      <c r="B756" t="s">
        <v>90</v>
      </c>
      <c r="C756" t="s">
        <v>104</v>
      </c>
      <c r="D756" t="s">
        <v>120</v>
      </c>
      <c r="E756" t="s">
        <v>180</v>
      </c>
      <c r="F756" t="s">
        <v>26</v>
      </c>
      <c r="G756" s="2">
        <v>76.67</v>
      </c>
      <c r="H756" t="s">
        <v>27</v>
      </c>
      <c r="I756" t="s">
        <v>181</v>
      </c>
      <c r="J756" t="s">
        <v>18</v>
      </c>
      <c r="K756" t="s">
        <v>19</v>
      </c>
    </row>
    <row r="757" spans="1:11">
      <c r="A757" s="1">
        <v>45703</v>
      </c>
      <c r="B757" t="s">
        <v>90</v>
      </c>
      <c r="C757" t="s">
        <v>104</v>
      </c>
      <c r="D757" t="s">
        <v>120</v>
      </c>
      <c r="E757" t="s">
        <v>182</v>
      </c>
      <c r="F757" t="s">
        <v>26</v>
      </c>
      <c r="G757" s="2">
        <v>100</v>
      </c>
      <c r="H757" t="s">
        <v>27</v>
      </c>
      <c r="I757" t="s">
        <v>181</v>
      </c>
      <c r="J757" t="s">
        <v>18</v>
      </c>
      <c r="K757" t="s">
        <v>19</v>
      </c>
    </row>
    <row r="758" spans="1:11">
      <c r="A758" s="1">
        <v>45703</v>
      </c>
      <c r="B758" t="s">
        <v>90</v>
      </c>
      <c r="C758" t="s">
        <v>104</v>
      </c>
      <c r="D758" t="s">
        <v>120</v>
      </c>
      <c r="E758" t="s">
        <v>183</v>
      </c>
      <c r="F758" t="s">
        <v>26</v>
      </c>
      <c r="G758" s="2">
        <v>103.33</v>
      </c>
      <c r="H758" t="s">
        <v>27</v>
      </c>
      <c r="I758" t="s">
        <v>181</v>
      </c>
      <c r="J758" t="s">
        <v>18</v>
      </c>
      <c r="K758" t="s">
        <v>19</v>
      </c>
    </row>
    <row r="759" spans="1:11">
      <c r="A759" s="1">
        <v>45703</v>
      </c>
      <c r="B759" t="s">
        <v>90</v>
      </c>
      <c r="C759" t="s">
        <v>104</v>
      </c>
      <c r="D759" t="s">
        <v>120</v>
      </c>
      <c r="E759" t="s">
        <v>25</v>
      </c>
      <c r="F759" t="s">
        <v>26</v>
      </c>
      <c r="G759" s="2">
        <v>156.67</v>
      </c>
      <c r="H759" t="s">
        <v>27</v>
      </c>
      <c r="I759" t="s">
        <v>181</v>
      </c>
      <c r="J759" t="s">
        <v>18</v>
      </c>
      <c r="K759" t="s">
        <v>19</v>
      </c>
    </row>
    <row r="760" spans="1:11">
      <c r="A760" s="1">
        <v>45703</v>
      </c>
      <c r="B760" t="s">
        <v>90</v>
      </c>
      <c r="C760" t="s">
        <v>104</v>
      </c>
      <c r="D760" t="s">
        <v>120</v>
      </c>
      <c r="E760" t="s">
        <v>184</v>
      </c>
      <c r="F760" t="s">
        <v>185</v>
      </c>
      <c r="G760" s="2">
        <v>300</v>
      </c>
      <c r="H760" t="s">
        <v>27</v>
      </c>
      <c r="I760" t="s">
        <v>181</v>
      </c>
      <c r="J760" t="s">
        <v>18</v>
      </c>
      <c r="K760" t="s">
        <v>19</v>
      </c>
    </row>
    <row r="761" spans="1:11">
      <c r="A761" s="1">
        <v>45703</v>
      </c>
      <c r="B761" t="s">
        <v>90</v>
      </c>
      <c r="C761" t="s">
        <v>104</v>
      </c>
      <c r="D761" t="s">
        <v>120</v>
      </c>
      <c r="E761" t="s">
        <v>186</v>
      </c>
      <c r="F761" t="s">
        <v>26</v>
      </c>
      <c r="G761" s="2">
        <v>120</v>
      </c>
      <c r="H761" t="s">
        <v>27</v>
      </c>
      <c r="I761" t="s">
        <v>181</v>
      </c>
      <c r="J761" t="s">
        <v>18</v>
      </c>
      <c r="K761" t="s">
        <v>19</v>
      </c>
    </row>
    <row r="762" spans="1:11">
      <c r="A762" s="1">
        <v>45703</v>
      </c>
      <c r="B762" t="s">
        <v>90</v>
      </c>
      <c r="C762" t="s">
        <v>104</v>
      </c>
      <c r="D762" t="s">
        <v>157</v>
      </c>
      <c r="E762" t="s">
        <v>180</v>
      </c>
      <c r="F762" t="s">
        <v>26</v>
      </c>
      <c r="G762" s="2">
        <v>90</v>
      </c>
      <c r="H762" t="s">
        <v>27</v>
      </c>
      <c r="I762" t="s">
        <v>181</v>
      </c>
      <c r="J762" t="s">
        <v>18</v>
      </c>
      <c r="K762" t="s">
        <v>19</v>
      </c>
    </row>
    <row r="763" spans="1:11">
      <c r="A763" s="1">
        <v>45703</v>
      </c>
      <c r="B763" t="s">
        <v>90</v>
      </c>
      <c r="C763" t="s">
        <v>104</v>
      </c>
      <c r="D763" t="s">
        <v>157</v>
      </c>
      <c r="E763" t="s">
        <v>182</v>
      </c>
      <c r="F763" t="s">
        <v>26</v>
      </c>
      <c r="G763" s="2">
        <v>75</v>
      </c>
      <c r="H763" t="s">
        <v>27</v>
      </c>
      <c r="I763" t="s">
        <v>181</v>
      </c>
      <c r="J763" t="s">
        <v>18</v>
      </c>
      <c r="K763" t="s">
        <v>19</v>
      </c>
    </row>
    <row r="764" spans="1:11">
      <c r="A764" s="1">
        <v>45703</v>
      </c>
      <c r="B764" t="s">
        <v>90</v>
      </c>
      <c r="C764" t="s">
        <v>104</v>
      </c>
      <c r="D764" t="s">
        <v>157</v>
      </c>
      <c r="E764" t="s">
        <v>183</v>
      </c>
      <c r="F764" t="s">
        <v>26</v>
      </c>
      <c r="G764" s="2">
        <v>166.67</v>
      </c>
      <c r="H764" t="s">
        <v>27</v>
      </c>
      <c r="I764" t="s">
        <v>181</v>
      </c>
      <c r="J764" t="s">
        <v>18</v>
      </c>
      <c r="K764" t="s">
        <v>19</v>
      </c>
    </row>
    <row r="765" spans="1:11">
      <c r="A765" s="1">
        <v>45703</v>
      </c>
      <c r="B765" t="s">
        <v>90</v>
      </c>
      <c r="C765" t="s">
        <v>104</v>
      </c>
      <c r="D765" t="s">
        <v>157</v>
      </c>
      <c r="E765" t="s">
        <v>25</v>
      </c>
      <c r="F765" t="s">
        <v>26</v>
      </c>
      <c r="G765" s="2">
        <v>176.67</v>
      </c>
      <c r="H765" t="s">
        <v>27</v>
      </c>
      <c r="I765" t="s">
        <v>181</v>
      </c>
      <c r="J765" t="s">
        <v>18</v>
      </c>
      <c r="K765" t="s">
        <v>19</v>
      </c>
    </row>
    <row r="766" spans="1:11">
      <c r="A766" s="1">
        <v>45703</v>
      </c>
      <c r="B766" t="s">
        <v>90</v>
      </c>
      <c r="C766" t="s">
        <v>104</v>
      </c>
      <c r="D766" t="s">
        <v>157</v>
      </c>
      <c r="E766" t="s">
        <v>184</v>
      </c>
      <c r="F766" t="s">
        <v>185</v>
      </c>
      <c r="G766" s="2">
        <v>326.67</v>
      </c>
      <c r="H766" t="s">
        <v>27</v>
      </c>
      <c r="I766" t="s">
        <v>181</v>
      </c>
      <c r="J766" t="s">
        <v>18</v>
      </c>
      <c r="K766" t="s">
        <v>19</v>
      </c>
    </row>
    <row r="767" spans="1:11">
      <c r="A767" s="1">
        <v>45703</v>
      </c>
      <c r="B767" t="s">
        <v>90</v>
      </c>
      <c r="C767" t="s">
        <v>104</v>
      </c>
      <c r="D767" t="s">
        <v>157</v>
      </c>
      <c r="E767" t="s">
        <v>186</v>
      </c>
      <c r="F767" t="s">
        <v>26</v>
      </c>
      <c r="G767" s="2">
        <v>180</v>
      </c>
      <c r="H767" t="s">
        <v>27</v>
      </c>
      <c r="I767" t="s">
        <v>181</v>
      </c>
      <c r="J767" t="s">
        <v>18</v>
      </c>
      <c r="K767" t="s">
        <v>19</v>
      </c>
    </row>
    <row r="768" spans="1:11">
      <c r="A768" s="1">
        <v>45731</v>
      </c>
      <c r="B768" t="s">
        <v>63</v>
      </c>
      <c r="C768" t="s">
        <v>64</v>
      </c>
      <c r="D768" t="s">
        <v>68</v>
      </c>
      <c r="E768" t="s">
        <v>180</v>
      </c>
      <c r="F768" t="s">
        <v>26</v>
      </c>
      <c r="G768" s="2">
        <v>92.56999999999999</v>
      </c>
      <c r="H768" t="s">
        <v>27</v>
      </c>
      <c r="I768" t="s">
        <v>181</v>
      </c>
      <c r="J768" t="s">
        <v>18</v>
      </c>
      <c r="K768" t="s">
        <v>19</v>
      </c>
    </row>
    <row r="769" spans="1:11">
      <c r="A769" s="1">
        <v>45731</v>
      </c>
      <c r="B769" t="s">
        <v>63</v>
      </c>
      <c r="C769" t="s">
        <v>64</v>
      </c>
      <c r="D769" t="s">
        <v>68</v>
      </c>
      <c r="E769" t="s">
        <v>182</v>
      </c>
      <c r="F769" t="s">
        <v>26</v>
      </c>
      <c r="G769" s="2">
        <v>68.20999999999999</v>
      </c>
      <c r="H769" t="s">
        <v>27</v>
      </c>
      <c r="I769" t="s">
        <v>181</v>
      </c>
      <c r="J769" t="s">
        <v>18</v>
      </c>
      <c r="K769" t="s">
        <v>19</v>
      </c>
    </row>
    <row r="770" spans="1:11">
      <c r="A770" s="1">
        <v>45731</v>
      </c>
      <c r="B770" t="s">
        <v>63</v>
      </c>
      <c r="C770" t="s">
        <v>64</v>
      </c>
      <c r="D770" t="s">
        <v>68</v>
      </c>
      <c r="E770" t="s">
        <v>183</v>
      </c>
      <c r="F770" t="s">
        <v>26</v>
      </c>
      <c r="G770" s="2">
        <v>116.15</v>
      </c>
      <c r="H770" t="s">
        <v>27</v>
      </c>
      <c r="I770" t="s">
        <v>181</v>
      </c>
      <c r="J770" t="s">
        <v>18</v>
      </c>
      <c r="K770" t="s">
        <v>19</v>
      </c>
    </row>
    <row r="771" spans="1:11">
      <c r="A771" s="1">
        <v>45731</v>
      </c>
      <c r="B771" t="s">
        <v>63</v>
      </c>
      <c r="C771" t="s">
        <v>64</v>
      </c>
      <c r="D771" t="s">
        <v>68</v>
      </c>
      <c r="E771" t="s">
        <v>184</v>
      </c>
      <c r="F771" t="s">
        <v>185</v>
      </c>
      <c r="G771" s="2">
        <v>268.1</v>
      </c>
      <c r="H771" t="s">
        <v>27</v>
      </c>
      <c r="I771" t="s">
        <v>181</v>
      </c>
      <c r="J771" t="s">
        <v>18</v>
      </c>
      <c r="K771" t="s">
        <v>19</v>
      </c>
    </row>
    <row r="772" spans="1:11">
      <c r="A772" s="1">
        <v>45731</v>
      </c>
      <c r="B772" t="s">
        <v>63</v>
      </c>
      <c r="C772" t="s">
        <v>64</v>
      </c>
      <c r="D772" t="s">
        <v>68</v>
      </c>
      <c r="E772" t="s">
        <v>186</v>
      </c>
      <c r="F772" t="s">
        <v>26</v>
      </c>
      <c r="G772" s="2">
        <v>115.27</v>
      </c>
      <c r="H772" t="s">
        <v>27</v>
      </c>
      <c r="I772" t="s">
        <v>181</v>
      </c>
      <c r="J772" t="s">
        <v>18</v>
      </c>
      <c r="K772" t="s">
        <v>19</v>
      </c>
    </row>
    <row r="773" spans="1:11">
      <c r="A773" s="1">
        <v>45731</v>
      </c>
      <c r="B773" t="s">
        <v>63</v>
      </c>
      <c r="C773" t="s">
        <v>64</v>
      </c>
      <c r="D773" t="s">
        <v>71</v>
      </c>
      <c r="E773" t="s">
        <v>180</v>
      </c>
      <c r="F773" t="s">
        <v>26</v>
      </c>
      <c r="G773" s="2">
        <v>97.42</v>
      </c>
      <c r="H773" t="s">
        <v>27</v>
      </c>
      <c r="I773" t="s">
        <v>181</v>
      </c>
      <c r="J773" t="s">
        <v>18</v>
      </c>
      <c r="K773" t="s">
        <v>19</v>
      </c>
    </row>
    <row r="774" spans="1:11">
      <c r="A774" s="1">
        <v>45731</v>
      </c>
      <c r="B774" t="s">
        <v>63</v>
      </c>
      <c r="C774" t="s">
        <v>64</v>
      </c>
      <c r="D774" t="s">
        <v>71</v>
      </c>
      <c r="E774" t="s">
        <v>182</v>
      </c>
      <c r="F774" t="s">
        <v>26</v>
      </c>
      <c r="G774" s="2">
        <v>68.75</v>
      </c>
      <c r="H774" t="s">
        <v>27</v>
      </c>
      <c r="I774" t="s">
        <v>181</v>
      </c>
      <c r="J774" t="s">
        <v>18</v>
      </c>
      <c r="K774" t="s">
        <v>19</v>
      </c>
    </row>
    <row r="775" spans="1:11">
      <c r="A775" s="1">
        <v>45731</v>
      </c>
      <c r="B775" t="s">
        <v>63</v>
      </c>
      <c r="C775" t="s">
        <v>64</v>
      </c>
      <c r="D775" t="s">
        <v>71</v>
      </c>
      <c r="E775" t="s">
        <v>183</v>
      </c>
      <c r="F775" t="s">
        <v>26</v>
      </c>
      <c r="G775" s="2">
        <v>107.71</v>
      </c>
      <c r="H775" t="s">
        <v>27</v>
      </c>
      <c r="I775" t="s">
        <v>181</v>
      </c>
      <c r="J775" t="s">
        <v>18</v>
      </c>
      <c r="K775" t="s">
        <v>19</v>
      </c>
    </row>
    <row r="776" spans="1:11">
      <c r="A776" s="1">
        <v>45731</v>
      </c>
      <c r="B776" t="s">
        <v>63</v>
      </c>
      <c r="C776" t="s">
        <v>64</v>
      </c>
      <c r="D776" t="s">
        <v>71</v>
      </c>
      <c r="E776" t="s">
        <v>184</v>
      </c>
      <c r="F776" t="s">
        <v>185</v>
      </c>
      <c r="G776" s="2">
        <v>286.36</v>
      </c>
      <c r="H776" t="s">
        <v>27</v>
      </c>
      <c r="I776" t="s">
        <v>181</v>
      </c>
      <c r="J776" t="s">
        <v>18</v>
      </c>
      <c r="K776" t="s">
        <v>19</v>
      </c>
    </row>
    <row r="777" spans="1:11">
      <c r="A777" s="1">
        <v>45731</v>
      </c>
      <c r="B777" t="s">
        <v>63</v>
      </c>
      <c r="C777" t="s">
        <v>64</v>
      </c>
      <c r="D777" t="s">
        <v>71</v>
      </c>
      <c r="E777" t="s">
        <v>186</v>
      </c>
      <c r="F777" t="s">
        <v>26</v>
      </c>
      <c r="G777" s="2">
        <v>123.32</v>
      </c>
      <c r="H777" t="s">
        <v>27</v>
      </c>
      <c r="I777" t="s">
        <v>181</v>
      </c>
      <c r="J777" t="s">
        <v>18</v>
      </c>
      <c r="K777" t="s">
        <v>19</v>
      </c>
    </row>
    <row r="778" spans="1:11">
      <c r="A778" s="1">
        <v>45731</v>
      </c>
      <c r="B778" t="s">
        <v>63</v>
      </c>
      <c r="C778" t="s">
        <v>64</v>
      </c>
      <c r="D778" t="s">
        <v>72</v>
      </c>
      <c r="E778" t="s">
        <v>182</v>
      </c>
      <c r="F778" t="s">
        <v>26</v>
      </c>
      <c r="G778" s="2">
        <v>63.36</v>
      </c>
      <c r="H778" t="s">
        <v>27</v>
      </c>
      <c r="I778" t="s">
        <v>181</v>
      </c>
      <c r="J778" t="s">
        <v>18</v>
      </c>
      <c r="K778" t="s">
        <v>19</v>
      </c>
    </row>
    <row r="779" spans="1:11">
      <c r="A779" s="1">
        <v>45731</v>
      </c>
      <c r="B779" t="s">
        <v>63</v>
      </c>
      <c r="C779" t="s">
        <v>64</v>
      </c>
      <c r="D779" t="s">
        <v>72</v>
      </c>
      <c r="E779" t="s">
        <v>183</v>
      </c>
      <c r="F779" t="s">
        <v>26</v>
      </c>
      <c r="G779" s="2">
        <v>117.12</v>
      </c>
      <c r="H779" t="s">
        <v>27</v>
      </c>
      <c r="I779" t="s">
        <v>181</v>
      </c>
      <c r="J779" t="s">
        <v>18</v>
      </c>
      <c r="K779" t="s">
        <v>19</v>
      </c>
    </row>
    <row r="780" spans="1:11">
      <c r="A780" s="1">
        <v>45731</v>
      </c>
      <c r="B780" t="s">
        <v>63</v>
      </c>
      <c r="C780" t="s">
        <v>64</v>
      </c>
      <c r="D780" t="s">
        <v>72</v>
      </c>
      <c r="E780" t="s">
        <v>184</v>
      </c>
      <c r="F780" t="s">
        <v>185</v>
      </c>
      <c r="G780" s="2">
        <v>290.71</v>
      </c>
      <c r="H780" t="s">
        <v>27</v>
      </c>
      <c r="I780" t="s">
        <v>181</v>
      </c>
      <c r="J780" t="s">
        <v>18</v>
      </c>
      <c r="K780" t="s">
        <v>19</v>
      </c>
    </row>
    <row r="781" spans="1:11">
      <c r="A781" s="1">
        <v>45731</v>
      </c>
      <c r="B781" t="s">
        <v>63</v>
      </c>
      <c r="C781" t="s">
        <v>64</v>
      </c>
      <c r="D781" t="s">
        <v>72</v>
      </c>
      <c r="E781" t="s">
        <v>186</v>
      </c>
      <c r="F781" t="s">
        <v>26</v>
      </c>
      <c r="G781" s="2">
        <v>119.97</v>
      </c>
      <c r="H781" t="s">
        <v>27</v>
      </c>
      <c r="I781" t="s">
        <v>181</v>
      </c>
      <c r="J781" t="s">
        <v>18</v>
      </c>
      <c r="K781" t="s">
        <v>19</v>
      </c>
    </row>
    <row r="782" spans="1:11">
      <c r="A782" s="1">
        <v>45731</v>
      </c>
      <c r="B782" t="s">
        <v>90</v>
      </c>
      <c r="C782" t="s">
        <v>104</v>
      </c>
      <c r="D782" t="s">
        <v>108</v>
      </c>
      <c r="E782" t="s">
        <v>180</v>
      </c>
      <c r="F782" t="s">
        <v>26</v>
      </c>
      <c r="G782" s="2">
        <v>85</v>
      </c>
      <c r="H782" t="s">
        <v>27</v>
      </c>
      <c r="I782" t="s">
        <v>181</v>
      </c>
      <c r="J782" t="s">
        <v>18</v>
      </c>
      <c r="K782" t="s">
        <v>19</v>
      </c>
    </row>
    <row r="783" spans="1:11">
      <c r="A783" s="1">
        <v>45731</v>
      </c>
      <c r="B783" t="s">
        <v>90</v>
      </c>
      <c r="C783" t="s">
        <v>104</v>
      </c>
      <c r="D783" t="s">
        <v>108</v>
      </c>
      <c r="E783" t="s">
        <v>182</v>
      </c>
      <c r="F783" t="s">
        <v>26</v>
      </c>
      <c r="G783" s="2">
        <v>80</v>
      </c>
      <c r="H783" t="s">
        <v>27</v>
      </c>
      <c r="I783" t="s">
        <v>181</v>
      </c>
      <c r="J783" t="s">
        <v>18</v>
      </c>
      <c r="K783" t="s">
        <v>19</v>
      </c>
    </row>
    <row r="784" spans="1:11">
      <c r="A784" s="1">
        <v>45731</v>
      </c>
      <c r="B784" t="s">
        <v>90</v>
      </c>
      <c r="C784" t="s">
        <v>104</v>
      </c>
      <c r="D784" t="s">
        <v>108</v>
      </c>
      <c r="E784" t="s">
        <v>183</v>
      </c>
      <c r="F784" t="s">
        <v>26</v>
      </c>
      <c r="G784" s="2">
        <v>125</v>
      </c>
      <c r="H784" t="s">
        <v>27</v>
      </c>
      <c r="I784" t="s">
        <v>181</v>
      </c>
      <c r="J784" t="s">
        <v>18</v>
      </c>
      <c r="K784" t="s">
        <v>19</v>
      </c>
    </row>
    <row r="785" spans="1:11">
      <c r="A785" s="1">
        <v>45731</v>
      </c>
      <c r="B785" t="s">
        <v>90</v>
      </c>
      <c r="C785" t="s">
        <v>104</v>
      </c>
      <c r="D785" t="s">
        <v>108</v>
      </c>
      <c r="E785" t="s">
        <v>25</v>
      </c>
      <c r="F785" t="s">
        <v>26</v>
      </c>
      <c r="G785" s="2">
        <v>170</v>
      </c>
      <c r="H785" t="s">
        <v>27</v>
      </c>
      <c r="I785" t="s">
        <v>181</v>
      </c>
      <c r="J785" t="s">
        <v>18</v>
      </c>
      <c r="K785" t="s">
        <v>19</v>
      </c>
    </row>
    <row r="786" spans="1:11">
      <c r="A786" s="1">
        <v>45731</v>
      </c>
      <c r="B786" t="s">
        <v>90</v>
      </c>
      <c r="C786" t="s">
        <v>104</v>
      </c>
      <c r="D786" t="s">
        <v>108</v>
      </c>
      <c r="E786" t="s">
        <v>184</v>
      </c>
      <c r="F786" t="s">
        <v>185</v>
      </c>
      <c r="G786" s="2">
        <v>300</v>
      </c>
      <c r="H786" t="s">
        <v>27</v>
      </c>
      <c r="I786" t="s">
        <v>181</v>
      </c>
      <c r="J786" t="s">
        <v>18</v>
      </c>
      <c r="K786" t="s">
        <v>19</v>
      </c>
    </row>
    <row r="787" spans="1:11">
      <c r="A787" s="1">
        <v>45731</v>
      </c>
      <c r="B787" t="s">
        <v>90</v>
      </c>
      <c r="C787" t="s">
        <v>104</v>
      </c>
      <c r="D787" t="s">
        <v>108</v>
      </c>
      <c r="E787" t="s">
        <v>186</v>
      </c>
      <c r="F787" t="s">
        <v>26</v>
      </c>
      <c r="G787" s="2">
        <v>175</v>
      </c>
      <c r="H787" t="s">
        <v>27</v>
      </c>
      <c r="I787" t="s">
        <v>181</v>
      </c>
      <c r="J787" t="s">
        <v>18</v>
      </c>
      <c r="K787" t="s">
        <v>19</v>
      </c>
    </row>
    <row r="788" spans="1:11">
      <c r="A788" s="1">
        <v>45731</v>
      </c>
      <c r="B788" t="s">
        <v>90</v>
      </c>
      <c r="C788" t="s">
        <v>104</v>
      </c>
      <c r="D788" t="s">
        <v>109</v>
      </c>
      <c r="E788" t="s">
        <v>180</v>
      </c>
      <c r="F788" t="s">
        <v>26</v>
      </c>
      <c r="G788" s="2">
        <v>83.33</v>
      </c>
      <c r="H788" t="s">
        <v>27</v>
      </c>
      <c r="I788" t="s">
        <v>181</v>
      </c>
      <c r="J788" t="s">
        <v>18</v>
      </c>
      <c r="K788" t="s">
        <v>19</v>
      </c>
    </row>
    <row r="789" spans="1:11">
      <c r="A789" s="1">
        <v>45731</v>
      </c>
      <c r="B789" t="s">
        <v>90</v>
      </c>
      <c r="C789" t="s">
        <v>104</v>
      </c>
      <c r="D789" t="s">
        <v>109</v>
      </c>
      <c r="E789" t="s">
        <v>182</v>
      </c>
      <c r="F789" t="s">
        <v>26</v>
      </c>
      <c r="G789" s="2">
        <v>80</v>
      </c>
      <c r="H789" t="s">
        <v>27</v>
      </c>
      <c r="I789" t="s">
        <v>181</v>
      </c>
      <c r="J789" t="s">
        <v>18</v>
      </c>
      <c r="K789" t="s">
        <v>19</v>
      </c>
    </row>
    <row r="790" spans="1:11">
      <c r="A790" s="1">
        <v>45731</v>
      </c>
      <c r="B790" t="s">
        <v>90</v>
      </c>
      <c r="C790" t="s">
        <v>104</v>
      </c>
      <c r="D790" t="s">
        <v>109</v>
      </c>
      <c r="E790" t="s">
        <v>183</v>
      </c>
      <c r="F790" t="s">
        <v>26</v>
      </c>
      <c r="G790" s="2">
        <v>160</v>
      </c>
      <c r="H790" t="s">
        <v>27</v>
      </c>
      <c r="I790" t="s">
        <v>181</v>
      </c>
      <c r="J790" t="s">
        <v>18</v>
      </c>
      <c r="K790" t="s">
        <v>19</v>
      </c>
    </row>
    <row r="791" spans="1:11">
      <c r="A791" s="1">
        <v>45731</v>
      </c>
      <c r="B791" t="s">
        <v>90</v>
      </c>
      <c r="C791" t="s">
        <v>104</v>
      </c>
      <c r="D791" t="s">
        <v>109</v>
      </c>
      <c r="E791" t="s">
        <v>184</v>
      </c>
      <c r="F791" t="s">
        <v>185</v>
      </c>
      <c r="G791" s="2">
        <v>306.67</v>
      </c>
      <c r="H791" t="s">
        <v>27</v>
      </c>
      <c r="I791" t="s">
        <v>181</v>
      </c>
      <c r="J791" t="s">
        <v>18</v>
      </c>
      <c r="K791" t="s">
        <v>19</v>
      </c>
    </row>
    <row r="792" spans="1:11">
      <c r="A792" s="1">
        <v>45731</v>
      </c>
      <c r="B792" t="s">
        <v>90</v>
      </c>
      <c r="C792" t="s">
        <v>104</v>
      </c>
      <c r="D792" t="s">
        <v>109</v>
      </c>
      <c r="E792" t="s">
        <v>186</v>
      </c>
      <c r="F792" t="s">
        <v>26</v>
      </c>
      <c r="G792" s="2">
        <v>160</v>
      </c>
      <c r="H792" t="s">
        <v>27</v>
      </c>
      <c r="I792" t="s">
        <v>181</v>
      </c>
      <c r="J792" t="s">
        <v>18</v>
      </c>
      <c r="K792" t="s">
        <v>19</v>
      </c>
    </row>
    <row r="793" spans="1:11">
      <c r="A793" s="1">
        <v>45731</v>
      </c>
      <c r="B793" t="s">
        <v>90</v>
      </c>
      <c r="C793" t="s">
        <v>104</v>
      </c>
      <c r="D793" t="s">
        <v>112</v>
      </c>
      <c r="E793" t="s">
        <v>180</v>
      </c>
      <c r="F793" t="s">
        <v>26</v>
      </c>
      <c r="G793" s="2">
        <v>76.67</v>
      </c>
      <c r="H793" t="s">
        <v>27</v>
      </c>
      <c r="I793" t="s">
        <v>181</v>
      </c>
      <c r="J793" t="s">
        <v>18</v>
      </c>
      <c r="K793" t="s">
        <v>19</v>
      </c>
    </row>
    <row r="794" spans="1:11">
      <c r="A794" s="1">
        <v>45731</v>
      </c>
      <c r="B794" t="s">
        <v>90</v>
      </c>
      <c r="C794" t="s">
        <v>104</v>
      </c>
      <c r="D794" t="s">
        <v>112</v>
      </c>
      <c r="E794" t="s">
        <v>182</v>
      </c>
      <c r="F794" t="s">
        <v>26</v>
      </c>
      <c r="G794" s="2">
        <v>93.33</v>
      </c>
      <c r="H794" t="s">
        <v>27</v>
      </c>
      <c r="I794" t="s">
        <v>181</v>
      </c>
      <c r="J794" t="s">
        <v>18</v>
      </c>
      <c r="K794" t="s">
        <v>19</v>
      </c>
    </row>
    <row r="795" spans="1:11">
      <c r="A795" s="1">
        <v>45731</v>
      </c>
      <c r="B795" t="s">
        <v>90</v>
      </c>
      <c r="C795" t="s">
        <v>104</v>
      </c>
      <c r="D795" t="s">
        <v>112</v>
      </c>
      <c r="E795" t="s">
        <v>183</v>
      </c>
      <c r="F795" t="s">
        <v>26</v>
      </c>
      <c r="G795" s="2">
        <v>153.33</v>
      </c>
      <c r="H795" t="s">
        <v>27</v>
      </c>
      <c r="I795" t="s">
        <v>181</v>
      </c>
      <c r="J795" t="s">
        <v>18</v>
      </c>
      <c r="K795" t="s">
        <v>19</v>
      </c>
    </row>
    <row r="796" spans="1:11">
      <c r="A796" s="1">
        <v>45731</v>
      </c>
      <c r="B796" t="s">
        <v>90</v>
      </c>
      <c r="C796" t="s">
        <v>104</v>
      </c>
      <c r="D796" t="s">
        <v>112</v>
      </c>
      <c r="E796" t="s">
        <v>184</v>
      </c>
      <c r="F796" t="s">
        <v>185</v>
      </c>
      <c r="G796" s="2">
        <v>300</v>
      </c>
      <c r="H796" t="s">
        <v>27</v>
      </c>
      <c r="I796" t="s">
        <v>181</v>
      </c>
      <c r="J796" t="s">
        <v>18</v>
      </c>
      <c r="K796" t="s">
        <v>19</v>
      </c>
    </row>
    <row r="797" spans="1:11">
      <c r="A797" s="1">
        <v>45731</v>
      </c>
      <c r="B797" t="s">
        <v>90</v>
      </c>
      <c r="C797" t="s">
        <v>104</v>
      </c>
      <c r="D797" t="s">
        <v>112</v>
      </c>
      <c r="E797" t="s">
        <v>186</v>
      </c>
      <c r="F797" t="s">
        <v>26</v>
      </c>
      <c r="G797" s="2">
        <v>150</v>
      </c>
      <c r="H797" t="s">
        <v>27</v>
      </c>
      <c r="I797" t="s">
        <v>181</v>
      </c>
      <c r="J797" t="s">
        <v>18</v>
      </c>
      <c r="K797" t="s">
        <v>19</v>
      </c>
    </row>
    <row r="798" spans="1:11">
      <c r="A798" s="1">
        <v>45731</v>
      </c>
      <c r="B798" t="s">
        <v>90</v>
      </c>
      <c r="C798" t="s">
        <v>104</v>
      </c>
      <c r="D798" t="s">
        <v>113</v>
      </c>
      <c r="E798" t="s">
        <v>180</v>
      </c>
      <c r="F798" t="s">
        <v>26</v>
      </c>
      <c r="G798" s="2">
        <v>75</v>
      </c>
      <c r="H798" t="s">
        <v>27</v>
      </c>
      <c r="I798" t="s">
        <v>181</v>
      </c>
      <c r="J798" t="s">
        <v>18</v>
      </c>
      <c r="K798" t="s">
        <v>19</v>
      </c>
    </row>
    <row r="799" spans="1:11">
      <c r="A799" s="1">
        <v>45731</v>
      </c>
      <c r="B799" t="s">
        <v>90</v>
      </c>
      <c r="C799" t="s">
        <v>104</v>
      </c>
      <c r="D799" t="s">
        <v>113</v>
      </c>
      <c r="E799" t="s">
        <v>182</v>
      </c>
      <c r="F799" t="s">
        <v>26</v>
      </c>
      <c r="G799" s="2">
        <v>93.33</v>
      </c>
      <c r="H799" t="s">
        <v>27</v>
      </c>
      <c r="I799" t="s">
        <v>181</v>
      </c>
      <c r="J799" t="s">
        <v>18</v>
      </c>
      <c r="K799" t="s">
        <v>19</v>
      </c>
    </row>
    <row r="800" spans="1:11">
      <c r="A800" s="1">
        <v>45731</v>
      </c>
      <c r="B800" t="s">
        <v>90</v>
      </c>
      <c r="C800" t="s">
        <v>104</v>
      </c>
      <c r="D800" t="s">
        <v>113</v>
      </c>
      <c r="E800" t="s">
        <v>183</v>
      </c>
      <c r="F800" t="s">
        <v>26</v>
      </c>
      <c r="G800" s="2">
        <v>170</v>
      </c>
      <c r="H800" t="s">
        <v>27</v>
      </c>
      <c r="I800" t="s">
        <v>181</v>
      </c>
      <c r="J800" t="s">
        <v>18</v>
      </c>
      <c r="K800" t="s">
        <v>19</v>
      </c>
    </row>
    <row r="801" spans="1:11">
      <c r="A801" s="1">
        <v>45731</v>
      </c>
      <c r="B801" t="s">
        <v>90</v>
      </c>
      <c r="C801" t="s">
        <v>104</v>
      </c>
      <c r="D801" t="s">
        <v>113</v>
      </c>
      <c r="E801" t="s">
        <v>184</v>
      </c>
      <c r="F801" t="s">
        <v>185</v>
      </c>
      <c r="G801" s="2">
        <v>290</v>
      </c>
      <c r="H801" t="s">
        <v>27</v>
      </c>
      <c r="I801" t="s">
        <v>181</v>
      </c>
      <c r="J801" t="s">
        <v>18</v>
      </c>
      <c r="K801" t="s">
        <v>19</v>
      </c>
    </row>
    <row r="802" spans="1:11">
      <c r="A802" s="1">
        <v>45731</v>
      </c>
      <c r="B802" t="s">
        <v>90</v>
      </c>
      <c r="C802" t="s">
        <v>104</v>
      </c>
      <c r="D802" t="s">
        <v>113</v>
      </c>
      <c r="E802" t="s">
        <v>186</v>
      </c>
      <c r="F802" t="s">
        <v>26</v>
      </c>
      <c r="G802" s="2">
        <v>163.33</v>
      </c>
      <c r="H802" t="s">
        <v>27</v>
      </c>
      <c r="I802" t="s">
        <v>181</v>
      </c>
      <c r="J802" t="s">
        <v>18</v>
      </c>
      <c r="K802" t="s">
        <v>19</v>
      </c>
    </row>
    <row r="803" spans="1:11">
      <c r="A803" s="1">
        <v>45731</v>
      </c>
      <c r="B803" t="s">
        <v>90</v>
      </c>
      <c r="C803" t="s">
        <v>104</v>
      </c>
      <c r="D803" t="s">
        <v>114</v>
      </c>
      <c r="E803" t="s">
        <v>180</v>
      </c>
      <c r="F803" t="s">
        <v>26</v>
      </c>
      <c r="G803" s="2">
        <v>77.5</v>
      </c>
      <c r="H803" t="s">
        <v>27</v>
      </c>
      <c r="I803" t="s">
        <v>181</v>
      </c>
      <c r="J803" t="s">
        <v>18</v>
      </c>
      <c r="K803" t="s">
        <v>19</v>
      </c>
    </row>
    <row r="804" spans="1:11">
      <c r="A804" s="1">
        <v>45731</v>
      </c>
      <c r="B804" t="s">
        <v>90</v>
      </c>
      <c r="C804" t="s">
        <v>104</v>
      </c>
      <c r="D804" t="s">
        <v>114</v>
      </c>
      <c r="E804" t="s">
        <v>183</v>
      </c>
      <c r="F804" t="s">
        <v>26</v>
      </c>
      <c r="G804" s="2">
        <v>125</v>
      </c>
      <c r="H804" t="s">
        <v>27</v>
      </c>
      <c r="I804" t="s">
        <v>181</v>
      </c>
      <c r="J804" t="s">
        <v>18</v>
      </c>
      <c r="K804" t="s">
        <v>19</v>
      </c>
    </row>
    <row r="805" spans="1:11">
      <c r="A805" s="1">
        <v>45731</v>
      </c>
      <c r="B805" t="s">
        <v>90</v>
      </c>
      <c r="C805" t="s">
        <v>104</v>
      </c>
      <c r="D805" t="s">
        <v>114</v>
      </c>
      <c r="E805" t="s">
        <v>184</v>
      </c>
      <c r="F805" t="s">
        <v>185</v>
      </c>
      <c r="G805" s="2">
        <v>325</v>
      </c>
      <c r="H805" t="s">
        <v>27</v>
      </c>
      <c r="I805" t="s">
        <v>181</v>
      </c>
      <c r="J805" t="s">
        <v>18</v>
      </c>
      <c r="K805" t="s">
        <v>19</v>
      </c>
    </row>
    <row r="806" spans="1:11">
      <c r="A806" s="1">
        <v>45731</v>
      </c>
      <c r="B806" t="s">
        <v>90</v>
      </c>
      <c r="C806" t="s">
        <v>104</v>
      </c>
      <c r="D806" t="s">
        <v>114</v>
      </c>
      <c r="E806" t="s">
        <v>186</v>
      </c>
      <c r="F806" t="s">
        <v>26</v>
      </c>
      <c r="G806" s="2">
        <v>155</v>
      </c>
      <c r="H806" t="s">
        <v>27</v>
      </c>
      <c r="I806" t="s">
        <v>181</v>
      </c>
      <c r="J806" t="s">
        <v>18</v>
      </c>
      <c r="K806" t="s">
        <v>19</v>
      </c>
    </row>
    <row r="807" spans="1:11">
      <c r="A807" s="1">
        <v>45731</v>
      </c>
      <c r="B807" t="s">
        <v>90</v>
      </c>
      <c r="C807" t="s">
        <v>104</v>
      </c>
      <c r="D807" t="s">
        <v>118</v>
      </c>
      <c r="E807" t="s">
        <v>180</v>
      </c>
      <c r="F807" t="s">
        <v>26</v>
      </c>
      <c r="G807" s="2">
        <v>80</v>
      </c>
      <c r="H807" t="s">
        <v>27</v>
      </c>
      <c r="I807" t="s">
        <v>181</v>
      </c>
      <c r="J807" t="s">
        <v>18</v>
      </c>
      <c r="K807" t="s">
        <v>19</v>
      </c>
    </row>
    <row r="808" spans="1:11">
      <c r="A808" s="1">
        <v>45731</v>
      </c>
      <c r="B808" t="s">
        <v>90</v>
      </c>
      <c r="C808" t="s">
        <v>104</v>
      </c>
      <c r="D808" t="s">
        <v>118</v>
      </c>
      <c r="E808" t="s">
        <v>182</v>
      </c>
      <c r="F808" t="s">
        <v>26</v>
      </c>
      <c r="G808" s="2">
        <v>100</v>
      </c>
      <c r="H808" t="s">
        <v>27</v>
      </c>
      <c r="I808" t="s">
        <v>181</v>
      </c>
      <c r="J808" t="s">
        <v>18</v>
      </c>
      <c r="K808" t="s">
        <v>19</v>
      </c>
    </row>
    <row r="809" spans="1:11">
      <c r="A809" s="1">
        <v>45731</v>
      </c>
      <c r="B809" t="s">
        <v>90</v>
      </c>
      <c r="C809" t="s">
        <v>104</v>
      </c>
      <c r="D809" t="s">
        <v>118</v>
      </c>
      <c r="E809" t="s">
        <v>183</v>
      </c>
      <c r="F809" t="s">
        <v>26</v>
      </c>
      <c r="G809" s="2">
        <v>120</v>
      </c>
      <c r="H809" t="s">
        <v>27</v>
      </c>
      <c r="I809" t="s">
        <v>181</v>
      </c>
      <c r="J809" t="s">
        <v>18</v>
      </c>
      <c r="K809" t="s">
        <v>19</v>
      </c>
    </row>
    <row r="810" spans="1:11">
      <c r="A810" s="1">
        <v>45731</v>
      </c>
      <c r="B810" t="s">
        <v>90</v>
      </c>
      <c r="C810" t="s">
        <v>104</v>
      </c>
      <c r="D810" t="s">
        <v>118</v>
      </c>
      <c r="E810" t="s">
        <v>184</v>
      </c>
      <c r="F810" t="s">
        <v>185</v>
      </c>
      <c r="G810" s="2">
        <v>300</v>
      </c>
      <c r="H810" t="s">
        <v>27</v>
      </c>
      <c r="I810" t="s">
        <v>181</v>
      </c>
      <c r="J810" t="s">
        <v>18</v>
      </c>
      <c r="K810" t="s">
        <v>19</v>
      </c>
    </row>
    <row r="811" spans="1:11">
      <c r="A811" s="1">
        <v>45731</v>
      </c>
      <c r="B811" t="s">
        <v>90</v>
      </c>
      <c r="C811" t="s">
        <v>104</v>
      </c>
      <c r="D811" t="s">
        <v>118</v>
      </c>
      <c r="E811" t="s">
        <v>186</v>
      </c>
      <c r="F811" t="s">
        <v>26</v>
      </c>
      <c r="G811" s="2">
        <v>136.67</v>
      </c>
      <c r="H811" t="s">
        <v>27</v>
      </c>
      <c r="I811" t="s">
        <v>181</v>
      </c>
      <c r="J811" t="s">
        <v>18</v>
      </c>
      <c r="K811" t="s">
        <v>19</v>
      </c>
    </row>
    <row r="812" spans="1:11">
      <c r="A812" s="1">
        <v>45731</v>
      </c>
      <c r="B812" t="s">
        <v>90</v>
      </c>
      <c r="C812" t="s">
        <v>104</v>
      </c>
      <c r="D812" t="s">
        <v>119</v>
      </c>
      <c r="E812" t="s">
        <v>180</v>
      </c>
      <c r="F812" t="s">
        <v>26</v>
      </c>
      <c r="G812" s="2">
        <v>77.5</v>
      </c>
      <c r="H812" t="s">
        <v>27</v>
      </c>
      <c r="I812" t="s">
        <v>181</v>
      </c>
      <c r="J812" t="s">
        <v>18</v>
      </c>
      <c r="K812" t="s">
        <v>19</v>
      </c>
    </row>
    <row r="813" spans="1:11">
      <c r="A813" s="1">
        <v>45731</v>
      </c>
      <c r="B813" t="s">
        <v>90</v>
      </c>
      <c r="C813" t="s">
        <v>104</v>
      </c>
      <c r="D813" t="s">
        <v>119</v>
      </c>
      <c r="E813" t="s">
        <v>182</v>
      </c>
      <c r="F813" t="s">
        <v>26</v>
      </c>
      <c r="G813" s="2">
        <v>90</v>
      </c>
      <c r="H813" t="s">
        <v>27</v>
      </c>
      <c r="I813" t="s">
        <v>181</v>
      </c>
      <c r="J813" t="s">
        <v>18</v>
      </c>
      <c r="K813" t="s">
        <v>19</v>
      </c>
    </row>
    <row r="814" spans="1:11">
      <c r="A814" s="1">
        <v>45731</v>
      </c>
      <c r="B814" t="s">
        <v>90</v>
      </c>
      <c r="C814" t="s">
        <v>104</v>
      </c>
      <c r="D814" t="s">
        <v>119</v>
      </c>
      <c r="E814" t="s">
        <v>183</v>
      </c>
      <c r="F814" t="s">
        <v>26</v>
      </c>
      <c r="G814" s="2">
        <v>170</v>
      </c>
      <c r="H814" t="s">
        <v>27</v>
      </c>
      <c r="I814" t="s">
        <v>181</v>
      </c>
      <c r="J814" t="s">
        <v>18</v>
      </c>
      <c r="K814" t="s">
        <v>19</v>
      </c>
    </row>
    <row r="815" spans="1:11">
      <c r="A815" s="1">
        <v>45731</v>
      </c>
      <c r="B815" t="s">
        <v>90</v>
      </c>
      <c r="C815" t="s">
        <v>104</v>
      </c>
      <c r="D815" t="s">
        <v>119</v>
      </c>
      <c r="E815" t="s">
        <v>184</v>
      </c>
      <c r="F815" t="s">
        <v>185</v>
      </c>
      <c r="G815" s="2">
        <v>300</v>
      </c>
      <c r="H815" t="s">
        <v>27</v>
      </c>
      <c r="I815" t="s">
        <v>181</v>
      </c>
      <c r="J815" t="s">
        <v>18</v>
      </c>
      <c r="K815" t="s">
        <v>19</v>
      </c>
    </row>
    <row r="816" spans="1:11">
      <c r="A816" s="1">
        <v>45731</v>
      </c>
      <c r="B816" t="s">
        <v>90</v>
      </c>
      <c r="C816" t="s">
        <v>104</v>
      </c>
      <c r="D816" t="s">
        <v>119</v>
      </c>
      <c r="E816" t="s">
        <v>186</v>
      </c>
      <c r="F816" t="s">
        <v>26</v>
      </c>
      <c r="G816" s="2">
        <v>150</v>
      </c>
      <c r="H816" t="s">
        <v>27</v>
      </c>
      <c r="I816" t="s">
        <v>181</v>
      </c>
      <c r="J816" t="s">
        <v>18</v>
      </c>
      <c r="K816" t="s">
        <v>19</v>
      </c>
    </row>
    <row r="817" spans="1:11">
      <c r="A817" s="1">
        <v>45731</v>
      </c>
      <c r="B817" t="s">
        <v>90</v>
      </c>
      <c r="C817" t="s">
        <v>104</v>
      </c>
      <c r="D817" t="s">
        <v>120</v>
      </c>
      <c r="E817" t="s">
        <v>180</v>
      </c>
      <c r="F817" t="s">
        <v>26</v>
      </c>
      <c r="G817" s="2">
        <v>80</v>
      </c>
      <c r="H817" t="s">
        <v>27</v>
      </c>
      <c r="I817" t="s">
        <v>181</v>
      </c>
      <c r="J817" t="s">
        <v>18</v>
      </c>
      <c r="K817" t="s">
        <v>19</v>
      </c>
    </row>
    <row r="818" spans="1:11">
      <c r="A818" s="1">
        <v>45731</v>
      </c>
      <c r="B818" t="s">
        <v>90</v>
      </c>
      <c r="C818" t="s">
        <v>104</v>
      </c>
      <c r="D818" t="s">
        <v>120</v>
      </c>
      <c r="E818" t="s">
        <v>182</v>
      </c>
      <c r="F818" t="s">
        <v>26</v>
      </c>
      <c r="G818" s="2">
        <v>100</v>
      </c>
      <c r="H818" t="s">
        <v>27</v>
      </c>
      <c r="I818" t="s">
        <v>181</v>
      </c>
      <c r="J818" t="s">
        <v>18</v>
      </c>
      <c r="K818" t="s">
        <v>19</v>
      </c>
    </row>
    <row r="819" spans="1:11">
      <c r="A819" s="1">
        <v>45731</v>
      </c>
      <c r="B819" t="s">
        <v>90</v>
      </c>
      <c r="C819" t="s">
        <v>104</v>
      </c>
      <c r="D819" t="s">
        <v>120</v>
      </c>
      <c r="E819" t="s">
        <v>183</v>
      </c>
      <c r="F819" t="s">
        <v>26</v>
      </c>
      <c r="G819" s="2">
        <v>127.5</v>
      </c>
      <c r="H819" t="s">
        <v>27</v>
      </c>
      <c r="I819" t="s">
        <v>181</v>
      </c>
      <c r="J819" t="s">
        <v>18</v>
      </c>
      <c r="K819" t="s">
        <v>19</v>
      </c>
    </row>
    <row r="820" spans="1:11">
      <c r="A820" s="1">
        <v>45731</v>
      </c>
      <c r="B820" t="s">
        <v>90</v>
      </c>
      <c r="C820" t="s">
        <v>104</v>
      </c>
      <c r="D820" t="s">
        <v>120</v>
      </c>
      <c r="E820" t="s">
        <v>184</v>
      </c>
      <c r="F820" t="s">
        <v>185</v>
      </c>
      <c r="G820" s="2">
        <v>295</v>
      </c>
      <c r="H820" t="s">
        <v>27</v>
      </c>
      <c r="I820" t="s">
        <v>181</v>
      </c>
      <c r="J820" t="s">
        <v>18</v>
      </c>
      <c r="K820" t="s">
        <v>19</v>
      </c>
    </row>
    <row r="821" spans="1:11">
      <c r="A821" s="1">
        <v>45731</v>
      </c>
      <c r="B821" t="s">
        <v>90</v>
      </c>
      <c r="C821" t="s">
        <v>104</v>
      </c>
      <c r="D821" t="s">
        <v>120</v>
      </c>
      <c r="E821" t="s">
        <v>186</v>
      </c>
      <c r="F821" t="s">
        <v>26</v>
      </c>
      <c r="G821" s="2">
        <v>142.5</v>
      </c>
      <c r="H821" t="s">
        <v>27</v>
      </c>
      <c r="I821" t="s">
        <v>181</v>
      </c>
      <c r="J821" t="s">
        <v>18</v>
      </c>
      <c r="K821" t="s">
        <v>19</v>
      </c>
    </row>
    <row r="822" spans="1:11">
      <c r="A822" s="1">
        <v>45731</v>
      </c>
      <c r="B822" t="s">
        <v>90</v>
      </c>
      <c r="C822" t="s">
        <v>104</v>
      </c>
      <c r="D822" t="s">
        <v>157</v>
      </c>
      <c r="E822" t="s">
        <v>180</v>
      </c>
      <c r="F822" t="s">
        <v>26</v>
      </c>
      <c r="G822" s="2">
        <v>86.67</v>
      </c>
      <c r="H822" t="s">
        <v>27</v>
      </c>
      <c r="I822" t="s">
        <v>181</v>
      </c>
      <c r="J822" t="s">
        <v>18</v>
      </c>
      <c r="K822" t="s">
        <v>19</v>
      </c>
    </row>
    <row r="823" spans="1:11">
      <c r="A823" s="1">
        <v>45731</v>
      </c>
      <c r="B823" t="s">
        <v>90</v>
      </c>
      <c r="C823" t="s">
        <v>104</v>
      </c>
      <c r="D823" t="s">
        <v>157</v>
      </c>
      <c r="E823" t="s">
        <v>182</v>
      </c>
      <c r="F823" t="s">
        <v>26</v>
      </c>
      <c r="G823" s="2">
        <v>80</v>
      </c>
      <c r="H823" t="s">
        <v>27</v>
      </c>
      <c r="I823" t="s">
        <v>181</v>
      </c>
      <c r="J823" t="s">
        <v>18</v>
      </c>
      <c r="K823" t="s">
        <v>19</v>
      </c>
    </row>
    <row r="824" spans="1:11">
      <c r="A824" s="1">
        <v>45731</v>
      </c>
      <c r="B824" t="s">
        <v>90</v>
      </c>
      <c r="C824" t="s">
        <v>104</v>
      </c>
      <c r="D824" t="s">
        <v>157</v>
      </c>
      <c r="E824" t="s">
        <v>183</v>
      </c>
      <c r="F824" t="s">
        <v>26</v>
      </c>
      <c r="G824" s="2">
        <v>183.33</v>
      </c>
      <c r="H824" t="s">
        <v>27</v>
      </c>
      <c r="I824" t="s">
        <v>181</v>
      </c>
      <c r="J824" t="s">
        <v>18</v>
      </c>
      <c r="K824" t="s">
        <v>19</v>
      </c>
    </row>
    <row r="825" spans="1:11">
      <c r="A825" s="1">
        <v>45731</v>
      </c>
      <c r="B825" t="s">
        <v>90</v>
      </c>
      <c r="C825" t="s">
        <v>104</v>
      </c>
      <c r="D825" t="s">
        <v>157</v>
      </c>
      <c r="E825" t="s">
        <v>184</v>
      </c>
      <c r="F825" t="s">
        <v>185</v>
      </c>
      <c r="G825" s="2">
        <v>316.67</v>
      </c>
      <c r="H825" t="s">
        <v>27</v>
      </c>
      <c r="I825" t="s">
        <v>181</v>
      </c>
      <c r="J825" t="s">
        <v>18</v>
      </c>
      <c r="K825" t="s">
        <v>19</v>
      </c>
    </row>
    <row r="826" spans="1:11">
      <c r="A826" s="1">
        <v>45731</v>
      </c>
      <c r="B826" t="s">
        <v>90</v>
      </c>
      <c r="C826" t="s">
        <v>104</v>
      </c>
      <c r="D826" t="s">
        <v>157</v>
      </c>
      <c r="E826" t="s">
        <v>186</v>
      </c>
      <c r="F826" t="s">
        <v>26</v>
      </c>
      <c r="G826" s="2">
        <v>166.67</v>
      </c>
      <c r="H826" t="s">
        <v>27</v>
      </c>
      <c r="I826" t="s">
        <v>181</v>
      </c>
      <c r="J826" t="s">
        <v>18</v>
      </c>
      <c r="K826" t="s">
        <v>19</v>
      </c>
    </row>
    <row r="827" spans="1:11">
      <c r="A827" s="1">
        <v>45762</v>
      </c>
      <c r="B827" t="s">
        <v>63</v>
      </c>
      <c r="C827" t="s">
        <v>64</v>
      </c>
      <c r="D827" t="s">
        <v>72</v>
      </c>
      <c r="E827" t="s">
        <v>182</v>
      </c>
      <c r="F827" t="s">
        <v>26</v>
      </c>
      <c r="G827" s="2">
        <v>100</v>
      </c>
      <c r="H827" t="s">
        <v>27</v>
      </c>
      <c r="I827" t="s">
        <v>181</v>
      </c>
      <c r="J827" t="s">
        <v>18</v>
      </c>
      <c r="K827" t="s">
        <v>19</v>
      </c>
    </row>
    <row r="828" spans="1:11">
      <c r="A828" s="1">
        <v>45762</v>
      </c>
      <c r="B828" t="s">
        <v>63</v>
      </c>
      <c r="C828" t="s">
        <v>64</v>
      </c>
      <c r="D828" t="s">
        <v>72</v>
      </c>
      <c r="E828" t="s">
        <v>183</v>
      </c>
      <c r="F828" t="s">
        <v>26</v>
      </c>
      <c r="G828" s="2">
        <v>113.33</v>
      </c>
      <c r="H828" t="s">
        <v>27</v>
      </c>
      <c r="I828" t="s">
        <v>181</v>
      </c>
      <c r="J828" t="s">
        <v>18</v>
      </c>
      <c r="K828" t="s">
        <v>19</v>
      </c>
    </row>
    <row r="829" spans="1:11">
      <c r="A829" s="1">
        <v>45762</v>
      </c>
      <c r="B829" t="s">
        <v>63</v>
      </c>
      <c r="C829" t="s">
        <v>64</v>
      </c>
      <c r="D829" t="s">
        <v>72</v>
      </c>
      <c r="E829" t="s">
        <v>25</v>
      </c>
      <c r="F829" t="s">
        <v>26</v>
      </c>
      <c r="G829" s="2">
        <v>123.33</v>
      </c>
      <c r="H829" t="s">
        <v>27</v>
      </c>
      <c r="I829" t="s">
        <v>181</v>
      </c>
      <c r="J829" t="s">
        <v>18</v>
      </c>
      <c r="K829" t="s">
        <v>19</v>
      </c>
    </row>
    <row r="830" spans="1:11">
      <c r="A830" s="1">
        <v>45762</v>
      </c>
      <c r="B830" t="s">
        <v>63</v>
      </c>
      <c r="C830" t="s">
        <v>64</v>
      </c>
      <c r="D830" t="s">
        <v>72</v>
      </c>
      <c r="E830" t="s">
        <v>184</v>
      </c>
      <c r="F830" t="s">
        <v>185</v>
      </c>
      <c r="G830" s="2">
        <v>280</v>
      </c>
      <c r="H830" t="s">
        <v>27</v>
      </c>
      <c r="I830" t="s">
        <v>181</v>
      </c>
      <c r="J830" t="s">
        <v>18</v>
      </c>
      <c r="K830" t="s">
        <v>19</v>
      </c>
    </row>
    <row r="831" spans="1:11">
      <c r="A831" s="1">
        <v>45762</v>
      </c>
      <c r="B831" t="s">
        <v>63</v>
      </c>
      <c r="C831" t="s">
        <v>64</v>
      </c>
      <c r="D831" t="s">
        <v>72</v>
      </c>
      <c r="E831" t="s">
        <v>186</v>
      </c>
      <c r="F831" t="s">
        <v>26</v>
      </c>
      <c r="G831" s="2">
        <v>123.33</v>
      </c>
      <c r="H831" t="s">
        <v>27</v>
      </c>
      <c r="I831" t="s">
        <v>181</v>
      </c>
      <c r="J831" t="s">
        <v>18</v>
      </c>
      <c r="K831" t="s">
        <v>19</v>
      </c>
    </row>
    <row r="832" spans="1:11">
      <c r="A832" s="1">
        <v>45762</v>
      </c>
      <c r="B832" t="s">
        <v>90</v>
      </c>
      <c r="C832" t="s">
        <v>104</v>
      </c>
      <c r="D832" t="s">
        <v>112</v>
      </c>
      <c r="E832" t="s">
        <v>180</v>
      </c>
      <c r="F832" t="s">
        <v>26</v>
      </c>
      <c r="G832" s="2">
        <v>80</v>
      </c>
      <c r="H832" t="s">
        <v>27</v>
      </c>
      <c r="I832" t="s">
        <v>181</v>
      </c>
      <c r="J832" t="s">
        <v>18</v>
      </c>
      <c r="K832" t="s">
        <v>19</v>
      </c>
    </row>
    <row r="833" spans="1:11">
      <c r="A833" s="1">
        <v>45762</v>
      </c>
      <c r="B833" t="s">
        <v>90</v>
      </c>
      <c r="C833" t="s">
        <v>104</v>
      </c>
      <c r="D833" t="s">
        <v>112</v>
      </c>
      <c r="E833" t="s">
        <v>182</v>
      </c>
      <c r="F833" t="s">
        <v>26</v>
      </c>
      <c r="G833" s="2">
        <v>80</v>
      </c>
      <c r="H833" t="s">
        <v>27</v>
      </c>
      <c r="I833" t="s">
        <v>181</v>
      </c>
      <c r="J833" t="s">
        <v>18</v>
      </c>
      <c r="K833" t="s">
        <v>19</v>
      </c>
    </row>
    <row r="834" spans="1:11">
      <c r="A834" s="1">
        <v>45762</v>
      </c>
      <c r="B834" t="s">
        <v>90</v>
      </c>
      <c r="C834" t="s">
        <v>104</v>
      </c>
      <c r="D834" t="s">
        <v>112</v>
      </c>
      <c r="E834" t="s">
        <v>183</v>
      </c>
      <c r="F834" t="s">
        <v>26</v>
      </c>
      <c r="G834" s="2">
        <v>146.67</v>
      </c>
      <c r="H834" t="s">
        <v>27</v>
      </c>
      <c r="I834" t="s">
        <v>181</v>
      </c>
      <c r="J834" t="s">
        <v>18</v>
      </c>
      <c r="K834" t="s">
        <v>19</v>
      </c>
    </row>
    <row r="835" spans="1:11">
      <c r="A835" s="1">
        <v>45762</v>
      </c>
      <c r="B835" t="s">
        <v>90</v>
      </c>
      <c r="C835" t="s">
        <v>104</v>
      </c>
      <c r="D835" t="s">
        <v>112</v>
      </c>
      <c r="E835" t="s">
        <v>25</v>
      </c>
      <c r="F835" t="s">
        <v>26</v>
      </c>
      <c r="G835" s="2">
        <v>165</v>
      </c>
      <c r="H835" t="s">
        <v>27</v>
      </c>
      <c r="I835" t="s">
        <v>181</v>
      </c>
      <c r="J835" t="s">
        <v>18</v>
      </c>
      <c r="K835" t="s">
        <v>19</v>
      </c>
    </row>
    <row r="836" spans="1:11">
      <c r="A836" s="1">
        <v>45762</v>
      </c>
      <c r="B836" t="s">
        <v>90</v>
      </c>
      <c r="C836" t="s">
        <v>104</v>
      </c>
      <c r="D836" t="s">
        <v>112</v>
      </c>
      <c r="E836" t="s">
        <v>184</v>
      </c>
      <c r="F836" t="s">
        <v>185</v>
      </c>
      <c r="G836" s="2">
        <v>296.67</v>
      </c>
      <c r="H836" t="s">
        <v>27</v>
      </c>
      <c r="I836" t="s">
        <v>181</v>
      </c>
      <c r="J836" t="s">
        <v>18</v>
      </c>
      <c r="K836" t="s">
        <v>19</v>
      </c>
    </row>
    <row r="837" spans="1:11">
      <c r="A837" s="1">
        <v>45762</v>
      </c>
      <c r="B837" t="s">
        <v>90</v>
      </c>
      <c r="C837" t="s">
        <v>104</v>
      </c>
      <c r="D837" t="s">
        <v>112</v>
      </c>
      <c r="E837" t="s">
        <v>186</v>
      </c>
      <c r="F837" t="s">
        <v>26</v>
      </c>
      <c r="G837" s="2">
        <v>123.33</v>
      </c>
      <c r="H837" t="s">
        <v>27</v>
      </c>
      <c r="I837" t="s">
        <v>181</v>
      </c>
      <c r="J837" t="s">
        <v>18</v>
      </c>
      <c r="K837" t="s">
        <v>19</v>
      </c>
    </row>
    <row r="838" spans="1:11">
      <c r="A838" s="1">
        <v>45762</v>
      </c>
      <c r="B838" t="s">
        <v>90</v>
      </c>
      <c r="C838" t="s">
        <v>104</v>
      </c>
      <c r="D838" t="s">
        <v>113</v>
      </c>
      <c r="E838" t="s">
        <v>180</v>
      </c>
      <c r="F838" t="s">
        <v>26</v>
      </c>
      <c r="G838" s="2">
        <v>81.38</v>
      </c>
      <c r="H838" t="s">
        <v>27</v>
      </c>
      <c r="I838" t="s">
        <v>181</v>
      </c>
      <c r="J838" t="s">
        <v>18</v>
      </c>
      <c r="K838" t="s">
        <v>19</v>
      </c>
    </row>
    <row r="839" spans="1:11">
      <c r="A839" s="1">
        <v>45762</v>
      </c>
      <c r="B839" t="s">
        <v>90</v>
      </c>
      <c r="C839" t="s">
        <v>104</v>
      </c>
      <c r="D839" t="s">
        <v>113</v>
      </c>
      <c r="E839" t="s">
        <v>182</v>
      </c>
      <c r="F839" t="s">
        <v>26</v>
      </c>
      <c r="G839" s="2">
        <v>84.58</v>
      </c>
      <c r="H839" t="s">
        <v>27</v>
      </c>
      <c r="I839" t="s">
        <v>181</v>
      </c>
      <c r="J839" t="s">
        <v>18</v>
      </c>
      <c r="K839" t="s">
        <v>19</v>
      </c>
    </row>
    <row r="840" spans="1:11">
      <c r="A840" s="1">
        <v>45762</v>
      </c>
      <c r="B840" t="s">
        <v>90</v>
      </c>
      <c r="C840" t="s">
        <v>104</v>
      </c>
      <c r="D840" t="s">
        <v>113</v>
      </c>
      <c r="E840" t="s">
        <v>183</v>
      </c>
      <c r="F840" t="s">
        <v>26</v>
      </c>
      <c r="G840" s="2">
        <v>153.75</v>
      </c>
      <c r="H840" t="s">
        <v>27</v>
      </c>
      <c r="I840" t="s">
        <v>181</v>
      </c>
      <c r="J840" t="s">
        <v>18</v>
      </c>
      <c r="K840" t="s">
        <v>19</v>
      </c>
    </row>
    <row r="841" spans="1:11">
      <c r="A841" s="1">
        <v>45762</v>
      </c>
      <c r="B841" t="s">
        <v>90</v>
      </c>
      <c r="C841" t="s">
        <v>104</v>
      </c>
      <c r="D841" t="s">
        <v>113</v>
      </c>
      <c r="E841" t="s">
        <v>25</v>
      </c>
      <c r="F841" t="s">
        <v>26</v>
      </c>
      <c r="G841" s="2">
        <v>171.25</v>
      </c>
      <c r="H841" t="s">
        <v>27</v>
      </c>
      <c r="I841" t="s">
        <v>181</v>
      </c>
      <c r="J841" t="s">
        <v>18</v>
      </c>
      <c r="K841" t="s">
        <v>19</v>
      </c>
    </row>
    <row r="842" spans="1:11">
      <c r="A842" s="1">
        <v>45762</v>
      </c>
      <c r="B842" t="s">
        <v>90</v>
      </c>
      <c r="C842" t="s">
        <v>104</v>
      </c>
      <c r="D842" t="s">
        <v>113</v>
      </c>
      <c r="E842" t="s">
        <v>184</v>
      </c>
      <c r="F842" t="s">
        <v>185</v>
      </c>
      <c r="G842" s="2">
        <v>289.75</v>
      </c>
      <c r="H842" t="s">
        <v>27</v>
      </c>
      <c r="I842" t="s">
        <v>181</v>
      </c>
      <c r="J842" t="s">
        <v>18</v>
      </c>
      <c r="K842" t="s">
        <v>19</v>
      </c>
    </row>
    <row r="843" spans="1:11">
      <c r="A843" s="1">
        <v>45762</v>
      </c>
      <c r="B843" t="s">
        <v>90</v>
      </c>
      <c r="C843" t="s">
        <v>104</v>
      </c>
      <c r="D843" t="s">
        <v>113</v>
      </c>
      <c r="E843" t="s">
        <v>186</v>
      </c>
      <c r="F843" t="s">
        <v>26</v>
      </c>
      <c r="G843" s="2">
        <v>153</v>
      </c>
      <c r="H843" t="s">
        <v>27</v>
      </c>
      <c r="I843" t="s">
        <v>181</v>
      </c>
      <c r="J843" t="s">
        <v>18</v>
      </c>
      <c r="K843" t="s">
        <v>19</v>
      </c>
    </row>
    <row r="844" spans="1:11">
      <c r="A844" s="1">
        <v>45762</v>
      </c>
      <c r="B844" t="s">
        <v>90</v>
      </c>
      <c r="C844" t="s">
        <v>104</v>
      </c>
      <c r="D844" t="s">
        <v>114</v>
      </c>
      <c r="E844" t="s">
        <v>180</v>
      </c>
      <c r="F844" t="s">
        <v>26</v>
      </c>
      <c r="G844" s="2">
        <v>75.83</v>
      </c>
      <c r="H844" t="s">
        <v>27</v>
      </c>
      <c r="I844" t="s">
        <v>181</v>
      </c>
      <c r="J844" t="s">
        <v>18</v>
      </c>
      <c r="K844" t="s">
        <v>19</v>
      </c>
    </row>
    <row r="845" spans="1:11">
      <c r="A845" s="1">
        <v>45762</v>
      </c>
      <c r="B845" t="s">
        <v>90</v>
      </c>
      <c r="C845" t="s">
        <v>104</v>
      </c>
      <c r="D845" t="s">
        <v>114</v>
      </c>
      <c r="E845" t="s">
        <v>183</v>
      </c>
      <c r="F845" t="s">
        <v>26</v>
      </c>
      <c r="G845" s="2">
        <v>140</v>
      </c>
      <c r="H845" t="s">
        <v>27</v>
      </c>
      <c r="I845" t="s">
        <v>181</v>
      </c>
      <c r="J845" t="s">
        <v>18</v>
      </c>
      <c r="K845" t="s">
        <v>19</v>
      </c>
    </row>
    <row r="846" spans="1:11">
      <c r="A846" s="1">
        <v>45762</v>
      </c>
      <c r="B846" t="s">
        <v>90</v>
      </c>
      <c r="C846" t="s">
        <v>104</v>
      </c>
      <c r="D846" t="s">
        <v>114</v>
      </c>
      <c r="E846" t="s">
        <v>25</v>
      </c>
      <c r="F846" t="s">
        <v>26</v>
      </c>
      <c r="G846" s="2">
        <v>158.33</v>
      </c>
      <c r="H846" t="s">
        <v>27</v>
      </c>
      <c r="I846" t="s">
        <v>181</v>
      </c>
      <c r="J846" t="s">
        <v>18</v>
      </c>
      <c r="K846" t="s">
        <v>19</v>
      </c>
    </row>
    <row r="847" spans="1:11">
      <c r="A847" s="1">
        <v>45762</v>
      </c>
      <c r="B847" t="s">
        <v>90</v>
      </c>
      <c r="C847" t="s">
        <v>104</v>
      </c>
      <c r="D847" t="s">
        <v>114</v>
      </c>
      <c r="E847" t="s">
        <v>184</v>
      </c>
      <c r="F847" t="s">
        <v>185</v>
      </c>
      <c r="G847" s="2">
        <v>313.33</v>
      </c>
      <c r="H847" t="s">
        <v>27</v>
      </c>
      <c r="I847" t="s">
        <v>181</v>
      </c>
      <c r="J847" t="s">
        <v>18</v>
      </c>
      <c r="K847" t="s">
        <v>19</v>
      </c>
    </row>
    <row r="848" spans="1:11">
      <c r="A848" s="1">
        <v>45762</v>
      </c>
      <c r="B848" t="s">
        <v>90</v>
      </c>
      <c r="C848" t="s">
        <v>104</v>
      </c>
      <c r="D848" t="s">
        <v>114</v>
      </c>
      <c r="E848" t="s">
        <v>186</v>
      </c>
      <c r="F848" t="s">
        <v>26</v>
      </c>
      <c r="G848" s="2">
        <v>151.67</v>
      </c>
      <c r="H848" t="s">
        <v>27</v>
      </c>
      <c r="I848" t="s">
        <v>181</v>
      </c>
      <c r="J848" t="s">
        <v>18</v>
      </c>
      <c r="K848" t="s">
        <v>19</v>
      </c>
    </row>
    <row r="849" spans="1:11">
      <c r="A849" s="1">
        <v>45792</v>
      </c>
      <c r="B849" t="s">
        <v>63</v>
      </c>
      <c r="C849" t="s">
        <v>64</v>
      </c>
      <c r="D849" t="s">
        <v>68</v>
      </c>
      <c r="E849" t="s">
        <v>180</v>
      </c>
      <c r="F849" t="s">
        <v>26</v>
      </c>
      <c r="G849" s="2">
        <v>97.55</v>
      </c>
      <c r="H849" t="s">
        <v>27</v>
      </c>
      <c r="I849" t="s">
        <v>181</v>
      </c>
      <c r="J849" t="s">
        <v>18</v>
      </c>
      <c r="K849" t="s">
        <v>19</v>
      </c>
    </row>
    <row r="850" spans="1:11">
      <c r="A850" s="1">
        <v>45792</v>
      </c>
      <c r="B850" t="s">
        <v>63</v>
      </c>
      <c r="C850" t="s">
        <v>64</v>
      </c>
      <c r="D850" t="s">
        <v>68</v>
      </c>
      <c r="E850" t="s">
        <v>182</v>
      </c>
      <c r="F850" t="s">
        <v>26</v>
      </c>
      <c r="G850" s="2">
        <v>73.72</v>
      </c>
      <c r="H850" t="s">
        <v>27</v>
      </c>
      <c r="I850" t="s">
        <v>181</v>
      </c>
      <c r="J850" t="s">
        <v>18</v>
      </c>
      <c r="K850" t="s">
        <v>19</v>
      </c>
    </row>
    <row r="851" spans="1:11">
      <c r="A851" s="1">
        <v>45792</v>
      </c>
      <c r="B851" t="s">
        <v>63</v>
      </c>
      <c r="C851" t="s">
        <v>64</v>
      </c>
      <c r="D851" t="s">
        <v>68</v>
      </c>
      <c r="E851" t="s">
        <v>183</v>
      </c>
      <c r="F851" t="s">
        <v>26</v>
      </c>
      <c r="G851" s="2">
        <v>119.08</v>
      </c>
      <c r="H851" t="s">
        <v>27</v>
      </c>
      <c r="I851" t="s">
        <v>181</v>
      </c>
      <c r="J851" t="s">
        <v>18</v>
      </c>
      <c r="K851" t="s">
        <v>19</v>
      </c>
    </row>
    <row r="852" spans="1:11">
      <c r="A852" s="1">
        <v>45792</v>
      </c>
      <c r="B852" t="s">
        <v>63</v>
      </c>
      <c r="C852" t="s">
        <v>64</v>
      </c>
      <c r="D852" t="s">
        <v>68</v>
      </c>
      <c r="E852" t="s">
        <v>187</v>
      </c>
      <c r="F852" t="s">
        <v>185</v>
      </c>
      <c r="G852" s="2">
        <v>181.96</v>
      </c>
      <c r="H852" t="s">
        <v>27</v>
      </c>
      <c r="I852" t="s">
        <v>181</v>
      </c>
      <c r="J852" t="s">
        <v>18</v>
      </c>
      <c r="K852" t="s">
        <v>19</v>
      </c>
    </row>
    <row r="853" spans="1:11">
      <c r="A853" s="1">
        <v>45792</v>
      </c>
      <c r="B853" t="s">
        <v>63</v>
      </c>
      <c r="C853" t="s">
        <v>64</v>
      </c>
      <c r="D853" t="s">
        <v>68</v>
      </c>
      <c r="E853" t="s">
        <v>25</v>
      </c>
      <c r="F853" t="s">
        <v>26</v>
      </c>
      <c r="G853" s="2">
        <v>137.81</v>
      </c>
      <c r="H853" t="s">
        <v>27</v>
      </c>
      <c r="I853" t="s">
        <v>181</v>
      </c>
      <c r="J853" t="s">
        <v>18</v>
      </c>
      <c r="K853" t="s">
        <v>19</v>
      </c>
    </row>
    <row r="854" spans="1:11">
      <c r="A854" s="1">
        <v>45792</v>
      </c>
      <c r="B854" t="s">
        <v>63</v>
      </c>
      <c r="C854" t="s">
        <v>64</v>
      </c>
      <c r="D854" t="s">
        <v>68</v>
      </c>
      <c r="E854" t="s">
        <v>184</v>
      </c>
      <c r="F854" t="s">
        <v>185</v>
      </c>
      <c r="G854" s="2">
        <v>268.92</v>
      </c>
      <c r="H854" t="s">
        <v>27</v>
      </c>
      <c r="I854" t="s">
        <v>181</v>
      </c>
      <c r="J854" t="s">
        <v>18</v>
      </c>
      <c r="K854" t="s">
        <v>19</v>
      </c>
    </row>
    <row r="855" spans="1:11">
      <c r="A855" s="1">
        <v>45792</v>
      </c>
      <c r="B855" t="s">
        <v>63</v>
      </c>
      <c r="C855" t="s">
        <v>64</v>
      </c>
      <c r="D855" t="s">
        <v>68</v>
      </c>
      <c r="E855" t="s">
        <v>186</v>
      </c>
      <c r="F855" t="s">
        <v>26</v>
      </c>
      <c r="G855" s="2">
        <v>131.99</v>
      </c>
      <c r="H855" t="s">
        <v>27</v>
      </c>
      <c r="I855" t="s">
        <v>181</v>
      </c>
      <c r="J855" t="s">
        <v>18</v>
      </c>
      <c r="K855" t="s">
        <v>19</v>
      </c>
    </row>
    <row r="856" spans="1:11">
      <c r="A856" s="1">
        <v>45792</v>
      </c>
      <c r="B856" t="s">
        <v>63</v>
      </c>
      <c r="C856" t="s">
        <v>64</v>
      </c>
      <c r="D856" t="s">
        <v>71</v>
      </c>
      <c r="E856" t="s">
        <v>180</v>
      </c>
      <c r="F856" t="s">
        <v>26</v>
      </c>
      <c r="G856" s="2">
        <v>100</v>
      </c>
      <c r="H856" t="s">
        <v>27</v>
      </c>
      <c r="I856" t="s">
        <v>181</v>
      </c>
      <c r="J856" t="s">
        <v>18</v>
      </c>
      <c r="K856" t="s">
        <v>19</v>
      </c>
    </row>
    <row r="857" spans="1:11">
      <c r="A857" s="1">
        <v>45792</v>
      </c>
      <c r="B857" t="s">
        <v>63</v>
      </c>
      <c r="C857" t="s">
        <v>64</v>
      </c>
      <c r="D857" t="s">
        <v>71</v>
      </c>
      <c r="E857" t="s">
        <v>182</v>
      </c>
      <c r="F857" t="s">
        <v>26</v>
      </c>
      <c r="G857" s="2">
        <v>78.43000000000001</v>
      </c>
      <c r="H857" t="s">
        <v>27</v>
      </c>
      <c r="I857" t="s">
        <v>181</v>
      </c>
      <c r="J857" t="s">
        <v>18</v>
      </c>
      <c r="K857" t="s">
        <v>19</v>
      </c>
    </row>
    <row r="858" spans="1:11">
      <c r="A858" s="1">
        <v>45792</v>
      </c>
      <c r="B858" t="s">
        <v>63</v>
      </c>
      <c r="C858" t="s">
        <v>64</v>
      </c>
      <c r="D858" t="s">
        <v>71</v>
      </c>
      <c r="E858" t="s">
        <v>183</v>
      </c>
      <c r="F858" t="s">
        <v>26</v>
      </c>
      <c r="G858" s="2">
        <v>114.9</v>
      </c>
      <c r="H858" t="s">
        <v>27</v>
      </c>
      <c r="I858" t="s">
        <v>181</v>
      </c>
      <c r="J858" t="s">
        <v>18</v>
      </c>
      <c r="K858" t="s">
        <v>19</v>
      </c>
    </row>
    <row r="859" spans="1:11">
      <c r="A859" s="1">
        <v>45792</v>
      </c>
      <c r="B859" t="s">
        <v>63</v>
      </c>
      <c r="C859" t="s">
        <v>64</v>
      </c>
      <c r="D859" t="s">
        <v>71</v>
      </c>
      <c r="E859" t="s">
        <v>25</v>
      </c>
      <c r="F859" t="s">
        <v>26</v>
      </c>
      <c r="G859" s="2">
        <v>140.72</v>
      </c>
      <c r="H859" t="s">
        <v>27</v>
      </c>
      <c r="I859" t="s">
        <v>181</v>
      </c>
      <c r="J859" t="s">
        <v>18</v>
      </c>
      <c r="K859" t="s">
        <v>19</v>
      </c>
    </row>
    <row r="860" spans="1:11">
      <c r="A860" s="1">
        <v>45792</v>
      </c>
      <c r="B860" t="s">
        <v>63</v>
      </c>
      <c r="C860" t="s">
        <v>64</v>
      </c>
      <c r="D860" t="s">
        <v>71</v>
      </c>
      <c r="E860" t="s">
        <v>184</v>
      </c>
      <c r="F860" t="s">
        <v>185</v>
      </c>
      <c r="G860" s="2">
        <v>288.98</v>
      </c>
      <c r="H860" t="s">
        <v>27</v>
      </c>
      <c r="I860" t="s">
        <v>181</v>
      </c>
      <c r="J860" t="s">
        <v>18</v>
      </c>
      <c r="K860" t="s">
        <v>19</v>
      </c>
    </row>
    <row r="861" spans="1:11">
      <c r="A861" s="1">
        <v>45792</v>
      </c>
      <c r="B861" t="s">
        <v>63</v>
      </c>
      <c r="C861" t="s">
        <v>64</v>
      </c>
      <c r="D861" t="s">
        <v>71</v>
      </c>
      <c r="E861" t="s">
        <v>186</v>
      </c>
      <c r="F861" t="s">
        <v>26</v>
      </c>
      <c r="G861" s="2">
        <v>134.13</v>
      </c>
      <c r="H861" t="s">
        <v>27</v>
      </c>
      <c r="I861" t="s">
        <v>181</v>
      </c>
      <c r="J861" t="s">
        <v>18</v>
      </c>
      <c r="K861" t="s">
        <v>19</v>
      </c>
    </row>
    <row r="862" spans="1:11">
      <c r="A862" s="1">
        <v>45792</v>
      </c>
      <c r="B862" t="s">
        <v>63</v>
      </c>
      <c r="C862" t="s">
        <v>64</v>
      </c>
      <c r="D862" t="s">
        <v>72</v>
      </c>
      <c r="E862" t="s">
        <v>182</v>
      </c>
      <c r="F862" t="s">
        <v>26</v>
      </c>
      <c r="G862" s="2">
        <v>74.54000000000001</v>
      </c>
      <c r="H862" t="s">
        <v>27</v>
      </c>
      <c r="I862" t="s">
        <v>181</v>
      </c>
      <c r="J862" t="s">
        <v>18</v>
      </c>
      <c r="K862" t="s">
        <v>19</v>
      </c>
    </row>
    <row r="863" spans="1:11">
      <c r="A863" s="1">
        <v>45792</v>
      </c>
      <c r="B863" t="s">
        <v>63</v>
      </c>
      <c r="C863" t="s">
        <v>64</v>
      </c>
      <c r="D863" t="s">
        <v>72</v>
      </c>
      <c r="E863" t="s">
        <v>183</v>
      </c>
      <c r="F863" t="s">
        <v>26</v>
      </c>
      <c r="G863" s="2">
        <v>119.34</v>
      </c>
      <c r="H863" t="s">
        <v>27</v>
      </c>
      <c r="I863" t="s">
        <v>181</v>
      </c>
      <c r="J863" t="s">
        <v>18</v>
      </c>
      <c r="K863" t="s">
        <v>19</v>
      </c>
    </row>
    <row r="864" spans="1:11">
      <c r="A864" s="1">
        <v>45792</v>
      </c>
      <c r="B864" t="s">
        <v>63</v>
      </c>
      <c r="C864" t="s">
        <v>64</v>
      </c>
      <c r="D864" t="s">
        <v>72</v>
      </c>
      <c r="E864" t="s">
        <v>25</v>
      </c>
      <c r="F864" t="s">
        <v>26</v>
      </c>
      <c r="G864" s="2">
        <v>131.62</v>
      </c>
      <c r="H864" t="s">
        <v>27</v>
      </c>
      <c r="I864" t="s">
        <v>181</v>
      </c>
      <c r="J864" t="s">
        <v>18</v>
      </c>
      <c r="K864" t="s">
        <v>19</v>
      </c>
    </row>
    <row r="865" spans="1:11">
      <c r="A865" s="1">
        <v>45792</v>
      </c>
      <c r="B865" t="s">
        <v>63</v>
      </c>
      <c r="C865" t="s">
        <v>64</v>
      </c>
      <c r="D865" t="s">
        <v>72</v>
      </c>
      <c r="E865" t="s">
        <v>184</v>
      </c>
      <c r="F865" t="s">
        <v>185</v>
      </c>
      <c r="G865" s="2">
        <v>286.76</v>
      </c>
      <c r="H865" t="s">
        <v>27</v>
      </c>
      <c r="I865" t="s">
        <v>181</v>
      </c>
      <c r="J865" t="s">
        <v>18</v>
      </c>
      <c r="K865" t="s">
        <v>19</v>
      </c>
    </row>
    <row r="866" spans="1:11">
      <c r="A866" s="1">
        <v>45792</v>
      </c>
      <c r="B866" t="s">
        <v>63</v>
      </c>
      <c r="C866" t="s">
        <v>64</v>
      </c>
      <c r="D866" t="s">
        <v>72</v>
      </c>
      <c r="E866" t="s">
        <v>186</v>
      </c>
      <c r="F866" t="s">
        <v>26</v>
      </c>
      <c r="G866" s="2">
        <v>132.07</v>
      </c>
      <c r="H866" t="s">
        <v>27</v>
      </c>
      <c r="I866" t="s">
        <v>181</v>
      </c>
      <c r="J866" t="s">
        <v>18</v>
      </c>
      <c r="K866" t="s">
        <v>19</v>
      </c>
    </row>
    <row r="867" spans="1:11">
      <c r="A867" s="1">
        <v>45792</v>
      </c>
      <c r="B867" t="s">
        <v>90</v>
      </c>
      <c r="C867" t="s">
        <v>104</v>
      </c>
      <c r="D867" t="s">
        <v>113</v>
      </c>
      <c r="E867" t="s">
        <v>180</v>
      </c>
      <c r="F867" t="s">
        <v>26</v>
      </c>
      <c r="G867" s="2">
        <v>85</v>
      </c>
      <c r="H867" t="s">
        <v>27</v>
      </c>
      <c r="I867" t="s">
        <v>181</v>
      </c>
      <c r="J867" t="s">
        <v>18</v>
      </c>
      <c r="K867" t="s">
        <v>19</v>
      </c>
    </row>
    <row r="868" spans="1:11">
      <c r="A868" s="1">
        <v>45792</v>
      </c>
      <c r="B868" t="s">
        <v>90</v>
      </c>
      <c r="C868" t="s">
        <v>104</v>
      </c>
      <c r="D868" t="s">
        <v>113</v>
      </c>
      <c r="E868" t="s">
        <v>182</v>
      </c>
      <c r="F868" t="s">
        <v>26</v>
      </c>
      <c r="G868" s="2">
        <v>73.33</v>
      </c>
      <c r="H868" t="s">
        <v>27</v>
      </c>
      <c r="I868" t="s">
        <v>181</v>
      </c>
      <c r="J868" t="s">
        <v>18</v>
      </c>
      <c r="K868" t="s">
        <v>19</v>
      </c>
    </row>
    <row r="869" spans="1:11">
      <c r="A869" s="1">
        <v>45792</v>
      </c>
      <c r="B869" t="s">
        <v>90</v>
      </c>
      <c r="C869" t="s">
        <v>104</v>
      </c>
      <c r="D869" t="s">
        <v>113</v>
      </c>
      <c r="E869" t="s">
        <v>183</v>
      </c>
      <c r="F869" t="s">
        <v>26</v>
      </c>
      <c r="G869" s="2">
        <v>180</v>
      </c>
      <c r="H869" t="s">
        <v>27</v>
      </c>
      <c r="I869" t="s">
        <v>181</v>
      </c>
      <c r="J869" t="s">
        <v>18</v>
      </c>
      <c r="K869" t="s">
        <v>19</v>
      </c>
    </row>
    <row r="870" spans="1:11">
      <c r="A870" s="1">
        <v>45792</v>
      </c>
      <c r="B870" t="s">
        <v>90</v>
      </c>
      <c r="C870" t="s">
        <v>104</v>
      </c>
      <c r="D870" t="s">
        <v>113</v>
      </c>
      <c r="E870" t="s">
        <v>25</v>
      </c>
      <c r="F870" t="s">
        <v>26</v>
      </c>
      <c r="G870" s="2">
        <v>175</v>
      </c>
      <c r="H870" t="s">
        <v>27</v>
      </c>
      <c r="I870" t="s">
        <v>181</v>
      </c>
      <c r="J870" t="s">
        <v>18</v>
      </c>
      <c r="K870" t="s">
        <v>19</v>
      </c>
    </row>
    <row r="871" spans="1:11">
      <c r="A871" s="1">
        <v>45792</v>
      </c>
      <c r="B871" t="s">
        <v>90</v>
      </c>
      <c r="C871" t="s">
        <v>104</v>
      </c>
      <c r="D871" t="s">
        <v>113</v>
      </c>
      <c r="E871" t="s">
        <v>184</v>
      </c>
      <c r="F871" t="s">
        <v>185</v>
      </c>
      <c r="G871" s="2">
        <v>275</v>
      </c>
      <c r="H871" t="s">
        <v>27</v>
      </c>
      <c r="I871" t="s">
        <v>181</v>
      </c>
      <c r="J871" t="s">
        <v>18</v>
      </c>
      <c r="K871" t="s">
        <v>19</v>
      </c>
    </row>
    <row r="872" spans="1:11">
      <c r="A872" s="1">
        <v>45792</v>
      </c>
      <c r="B872" t="s">
        <v>90</v>
      </c>
      <c r="C872" t="s">
        <v>104</v>
      </c>
      <c r="D872" t="s">
        <v>113</v>
      </c>
      <c r="E872" t="s">
        <v>186</v>
      </c>
      <c r="F872" t="s">
        <v>26</v>
      </c>
      <c r="G872" s="2">
        <v>160</v>
      </c>
      <c r="H872" t="s">
        <v>27</v>
      </c>
      <c r="I872" t="s">
        <v>181</v>
      </c>
      <c r="J872" t="s">
        <v>18</v>
      </c>
      <c r="K872" t="s">
        <v>19</v>
      </c>
    </row>
    <row r="873" spans="1:11">
      <c r="A873" s="1">
        <v>45792</v>
      </c>
      <c r="B873" t="s">
        <v>90</v>
      </c>
      <c r="C873" t="s">
        <v>104</v>
      </c>
      <c r="D873" t="s">
        <v>114</v>
      </c>
      <c r="E873" t="s">
        <v>180</v>
      </c>
      <c r="F873" t="s">
        <v>26</v>
      </c>
      <c r="G873" s="2">
        <v>90</v>
      </c>
      <c r="H873" t="s">
        <v>27</v>
      </c>
      <c r="I873" t="s">
        <v>181</v>
      </c>
      <c r="J873" t="s">
        <v>18</v>
      </c>
      <c r="K873" t="s">
        <v>19</v>
      </c>
    </row>
    <row r="874" spans="1:11">
      <c r="A874" s="1">
        <v>45792</v>
      </c>
      <c r="B874" t="s">
        <v>90</v>
      </c>
      <c r="C874" t="s">
        <v>104</v>
      </c>
      <c r="D874" t="s">
        <v>114</v>
      </c>
      <c r="E874" t="s">
        <v>182</v>
      </c>
      <c r="F874" t="s">
        <v>26</v>
      </c>
      <c r="G874" s="2">
        <v>90</v>
      </c>
      <c r="H874" t="s">
        <v>27</v>
      </c>
      <c r="I874" t="s">
        <v>181</v>
      </c>
      <c r="J874" t="s">
        <v>18</v>
      </c>
      <c r="K874" t="s">
        <v>19</v>
      </c>
    </row>
    <row r="875" spans="1:11">
      <c r="A875" s="1">
        <v>45792</v>
      </c>
      <c r="B875" t="s">
        <v>90</v>
      </c>
      <c r="C875" t="s">
        <v>104</v>
      </c>
      <c r="D875" t="s">
        <v>114</v>
      </c>
      <c r="E875" t="s">
        <v>183</v>
      </c>
      <c r="F875" t="s">
        <v>26</v>
      </c>
      <c r="G875" s="2">
        <v>170</v>
      </c>
      <c r="H875" t="s">
        <v>27</v>
      </c>
      <c r="I875" t="s">
        <v>181</v>
      </c>
      <c r="J875" t="s">
        <v>18</v>
      </c>
      <c r="K875" t="s">
        <v>19</v>
      </c>
    </row>
    <row r="876" spans="1:11">
      <c r="A876" s="1">
        <v>45792</v>
      </c>
      <c r="B876" t="s">
        <v>90</v>
      </c>
      <c r="C876" t="s">
        <v>104</v>
      </c>
      <c r="D876" t="s">
        <v>114</v>
      </c>
      <c r="E876" t="s">
        <v>25</v>
      </c>
      <c r="F876" t="s">
        <v>26</v>
      </c>
      <c r="G876" s="2">
        <v>180</v>
      </c>
      <c r="H876" t="s">
        <v>27</v>
      </c>
      <c r="I876" t="s">
        <v>181</v>
      </c>
      <c r="J876" t="s">
        <v>18</v>
      </c>
      <c r="K876" t="s">
        <v>19</v>
      </c>
    </row>
    <row r="877" spans="1:11">
      <c r="A877" s="1">
        <v>45792</v>
      </c>
      <c r="B877" t="s">
        <v>90</v>
      </c>
      <c r="C877" t="s">
        <v>104</v>
      </c>
      <c r="D877" t="s">
        <v>114</v>
      </c>
      <c r="E877" t="s">
        <v>184</v>
      </c>
      <c r="F877" t="s">
        <v>185</v>
      </c>
      <c r="G877" s="2">
        <v>300</v>
      </c>
      <c r="H877" t="s">
        <v>27</v>
      </c>
      <c r="I877" t="s">
        <v>181</v>
      </c>
      <c r="J877" t="s">
        <v>18</v>
      </c>
      <c r="K877" t="s">
        <v>19</v>
      </c>
    </row>
    <row r="878" spans="1:11">
      <c r="A878" s="1">
        <v>45792</v>
      </c>
      <c r="B878" t="s">
        <v>90</v>
      </c>
      <c r="C878" t="s">
        <v>104</v>
      </c>
      <c r="D878" t="s">
        <v>114</v>
      </c>
      <c r="E878" t="s">
        <v>186</v>
      </c>
      <c r="F878" t="s">
        <v>26</v>
      </c>
      <c r="G878" s="2">
        <v>155</v>
      </c>
      <c r="H878" t="s">
        <v>27</v>
      </c>
      <c r="I878" t="s">
        <v>181</v>
      </c>
      <c r="J878" t="s">
        <v>18</v>
      </c>
      <c r="K878" t="s">
        <v>19</v>
      </c>
    </row>
    <row r="879" spans="1:11">
      <c r="A879" s="1">
        <v>45792</v>
      </c>
      <c r="B879" t="s">
        <v>90</v>
      </c>
      <c r="C879" t="s">
        <v>104</v>
      </c>
      <c r="D879" t="s">
        <v>118</v>
      </c>
      <c r="E879" t="s">
        <v>180</v>
      </c>
      <c r="F879" t="s">
        <v>26</v>
      </c>
      <c r="G879" s="2">
        <v>90</v>
      </c>
      <c r="H879" t="s">
        <v>27</v>
      </c>
      <c r="I879" t="s">
        <v>181</v>
      </c>
      <c r="J879" t="s">
        <v>18</v>
      </c>
      <c r="K879" t="s">
        <v>19</v>
      </c>
    </row>
    <row r="880" spans="1:11">
      <c r="A880" s="1">
        <v>45792</v>
      </c>
      <c r="B880" t="s">
        <v>90</v>
      </c>
      <c r="C880" t="s">
        <v>104</v>
      </c>
      <c r="D880" t="s">
        <v>118</v>
      </c>
      <c r="E880" t="s">
        <v>182</v>
      </c>
      <c r="F880" t="s">
        <v>26</v>
      </c>
      <c r="G880" s="2">
        <v>83.33</v>
      </c>
      <c r="H880" t="s">
        <v>27</v>
      </c>
      <c r="I880" t="s">
        <v>181</v>
      </c>
      <c r="J880" t="s">
        <v>18</v>
      </c>
      <c r="K880" t="s">
        <v>19</v>
      </c>
    </row>
    <row r="881" spans="1:11">
      <c r="A881" s="1">
        <v>45792</v>
      </c>
      <c r="B881" t="s">
        <v>90</v>
      </c>
      <c r="C881" t="s">
        <v>104</v>
      </c>
      <c r="D881" t="s">
        <v>118</v>
      </c>
      <c r="E881" t="s">
        <v>183</v>
      </c>
      <c r="F881" t="s">
        <v>26</v>
      </c>
      <c r="G881" s="2">
        <v>113.33</v>
      </c>
      <c r="H881" t="s">
        <v>27</v>
      </c>
      <c r="I881" t="s">
        <v>181</v>
      </c>
      <c r="J881" t="s">
        <v>18</v>
      </c>
      <c r="K881" t="s">
        <v>19</v>
      </c>
    </row>
    <row r="882" spans="1:11">
      <c r="A882" s="1">
        <v>45792</v>
      </c>
      <c r="B882" t="s">
        <v>90</v>
      </c>
      <c r="C882" t="s">
        <v>104</v>
      </c>
      <c r="D882" t="s">
        <v>118</v>
      </c>
      <c r="E882" t="s">
        <v>25</v>
      </c>
      <c r="F882" t="s">
        <v>26</v>
      </c>
      <c r="G882" s="2">
        <v>173.33</v>
      </c>
      <c r="H882" t="s">
        <v>27</v>
      </c>
      <c r="I882" t="s">
        <v>181</v>
      </c>
      <c r="J882" t="s">
        <v>18</v>
      </c>
      <c r="K882" t="s">
        <v>19</v>
      </c>
    </row>
    <row r="883" spans="1:11">
      <c r="A883" s="1">
        <v>45792</v>
      </c>
      <c r="B883" t="s">
        <v>90</v>
      </c>
      <c r="C883" t="s">
        <v>104</v>
      </c>
      <c r="D883" t="s">
        <v>118</v>
      </c>
      <c r="E883" t="s">
        <v>184</v>
      </c>
      <c r="F883" t="s">
        <v>185</v>
      </c>
      <c r="G883" s="2">
        <v>300</v>
      </c>
      <c r="H883" t="s">
        <v>27</v>
      </c>
      <c r="I883" t="s">
        <v>181</v>
      </c>
      <c r="J883" t="s">
        <v>18</v>
      </c>
      <c r="K883" t="s">
        <v>19</v>
      </c>
    </row>
    <row r="884" spans="1:11">
      <c r="A884" s="1">
        <v>45792</v>
      </c>
      <c r="B884" t="s">
        <v>90</v>
      </c>
      <c r="C884" t="s">
        <v>104</v>
      </c>
      <c r="D884" t="s">
        <v>118</v>
      </c>
      <c r="E884" t="s">
        <v>186</v>
      </c>
      <c r="F884" t="s">
        <v>26</v>
      </c>
      <c r="G884" s="2">
        <v>133.33</v>
      </c>
      <c r="H884" t="s">
        <v>27</v>
      </c>
      <c r="I884" t="s">
        <v>181</v>
      </c>
      <c r="J884" t="s">
        <v>18</v>
      </c>
      <c r="K884" t="s">
        <v>19</v>
      </c>
    </row>
    <row r="885" spans="1:11">
      <c r="A885" s="1">
        <v>45792</v>
      </c>
      <c r="B885" t="s">
        <v>90</v>
      </c>
      <c r="C885" t="s">
        <v>104</v>
      </c>
      <c r="D885" t="s">
        <v>119</v>
      </c>
      <c r="E885" t="s">
        <v>180</v>
      </c>
      <c r="F885" t="s">
        <v>26</v>
      </c>
      <c r="G885" s="2">
        <v>85</v>
      </c>
      <c r="H885" t="s">
        <v>27</v>
      </c>
      <c r="I885" t="s">
        <v>181</v>
      </c>
      <c r="J885" t="s">
        <v>18</v>
      </c>
      <c r="K885" t="s">
        <v>19</v>
      </c>
    </row>
    <row r="886" spans="1:11">
      <c r="A886" s="1">
        <v>45792</v>
      </c>
      <c r="B886" t="s">
        <v>90</v>
      </c>
      <c r="C886" t="s">
        <v>104</v>
      </c>
      <c r="D886" t="s">
        <v>119</v>
      </c>
      <c r="E886" t="s">
        <v>182</v>
      </c>
      <c r="F886" t="s">
        <v>26</v>
      </c>
      <c r="G886" s="2">
        <v>60</v>
      </c>
      <c r="H886" t="s">
        <v>27</v>
      </c>
      <c r="I886" t="s">
        <v>181</v>
      </c>
      <c r="J886" t="s">
        <v>18</v>
      </c>
      <c r="K886" t="s">
        <v>19</v>
      </c>
    </row>
    <row r="887" spans="1:11">
      <c r="A887" s="1">
        <v>45792</v>
      </c>
      <c r="B887" t="s">
        <v>90</v>
      </c>
      <c r="C887" t="s">
        <v>104</v>
      </c>
      <c r="D887" t="s">
        <v>119</v>
      </c>
      <c r="E887" t="s">
        <v>183</v>
      </c>
      <c r="F887" t="s">
        <v>26</v>
      </c>
      <c r="G887" s="2">
        <v>170</v>
      </c>
      <c r="H887" t="s">
        <v>27</v>
      </c>
      <c r="I887" t="s">
        <v>181</v>
      </c>
      <c r="J887" t="s">
        <v>18</v>
      </c>
      <c r="K887" t="s">
        <v>19</v>
      </c>
    </row>
    <row r="888" spans="1:11">
      <c r="A888" s="1">
        <v>45792</v>
      </c>
      <c r="B888" t="s">
        <v>90</v>
      </c>
      <c r="C888" t="s">
        <v>104</v>
      </c>
      <c r="D888" t="s">
        <v>119</v>
      </c>
      <c r="E888" t="s">
        <v>25</v>
      </c>
      <c r="F888" t="s">
        <v>26</v>
      </c>
      <c r="G888" s="2">
        <v>180</v>
      </c>
      <c r="H888" t="s">
        <v>27</v>
      </c>
      <c r="I888" t="s">
        <v>181</v>
      </c>
      <c r="J888" t="s">
        <v>18</v>
      </c>
      <c r="K888" t="s">
        <v>19</v>
      </c>
    </row>
    <row r="889" spans="1:11">
      <c r="A889" s="1">
        <v>45792</v>
      </c>
      <c r="B889" t="s">
        <v>90</v>
      </c>
      <c r="C889" t="s">
        <v>104</v>
      </c>
      <c r="D889" t="s">
        <v>119</v>
      </c>
      <c r="E889" t="s">
        <v>184</v>
      </c>
      <c r="F889" t="s">
        <v>185</v>
      </c>
      <c r="G889" s="2">
        <v>320</v>
      </c>
      <c r="H889" t="s">
        <v>27</v>
      </c>
      <c r="I889" t="s">
        <v>181</v>
      </c>
      <c r="J889" t="s">
        <v>18</v>
      </c>
      <c r="K889" t="s">
        <v>19</v>
      </c>
    </row>
    <row r="890" spans="1:11">
      <c r="A890" s="1">
        <v>45792</v>
      </c>
      <c r="B890" t="s">
        <v>90</v>
      </c>
      <c r="C890" t="s">
        <v>104</v>
      </c>
      <c r="D890" t="s">
        <v>119</v>
      </c>
      <c r="E890" t="s">
        <v>186</v>
      </c>
      <c r="F890" t="s">
        <v>26</v>
      </c>
      <c r="G890" s="2">
        <v>160</v>
      </c>
      <c r="H890" t="s">
        <v>27</v>
      </c>
      <c r="I890" t="s">
        <v>181</v>
      </c>
      <c r="J890" t="s">
        <v>18</v>
      </c>
      <c r="K890" t="s">
        <v>19</v>
      </c>
    </row>
    <row r="891" spans="1:11">
      <c r="A891" s="1">
        <v>45792</v>
      </c>
      <c r="B891" t="s">
        <v>90</v>
      </c>
      <c r="C891" t="s">
        <v>104</v>
      </c>
      <c r="D891" t="s">
        <v>120</v>
      </c>
      <c r="E891" t="s">
        <v>180</v>
      </c>
      <c r="F891" t="s">
        <v>26</v>
      </c>
      <c r="G891" s="2">
        <v>80</v>
      </c>
      <c r="H891" t="s">
        <v>27</v>
      </c>
      <c r="I891" t="s">
        <v>181</v>
      </c>
      <c r="J891" t="s">
        <v>18</v>
      </c>
      <c r="K891" t="s">
        <v>19</v>
      </c>
    </row>
    <row r="892" spans="1:11">
      <c r="A892" s="1">
        <v>45792</v>
      </c>
      <c r="B892" t="s">
        <v>90</v>
      </c>
      <c r="C892" t="s">
        <v>104</v>
      </c>
      <c r="D892" t="s">
        <v>120</v>
      </c>
      <c r="E892" t="s">
        <v>182</v>
      </c>
      <c r="F892" t="s">
        <v>26</v>
      </c>
      <c r="G892" s="2">
        <v>90</v>
      </c>
      <c r="H892" t="s">
        <v>27</v>
      </c>
      <c r="I892" t="s">
        <v>181</v>
      </c>
      <c r="J892" t="s">
        <v>18</v>
      </c>
      <c r="K892" t="s">
        <v>19</v>
      </c>
    </row>
    <row r="893" spans="1:11">
      <c r="A893" s="1">
        <v>45792</v>
      </c>
      <c r="B893" t="s">
        <v>90</v>
      </c>
      <c r="C893" t="s">
        <v>104</v>
      </c>
      <c r="D893" t="s">
        <v>120</v>
      </c>
      <c r="E893" t="s">
        <v>183</v>
      </c>
      <c r="F893" t="s">
        <v>26</v>
      </c>
      <c r="G893" s="2">
        <v>145</v>
      </c>
      <c r="H893" t="s">
        <v>27</v>
      </c>
      <c r="I893" t="s">
        <v>181</v>
      </c>
      <c r="J893" t="s">
        <v>18</v>
      </c>
      <c r="K893" t="s">
        <v>19</v>
      </c>
    </row>
    <row r="894" spans="1:11">
      <c r="A894" s="1">
        <v>45792</v>
      </c>
      <c r="B894" t="s">
        <v>90</v>
      </c>
      <c r="C894" t="s">
        <v>104</v>
      </c>
      <c r="D894" t="s">
        <v>120</v>
      </c>
      <c r="E894" t="s">
        <v>25</v>
      </c>
      <c r="F894" t="s">
        <v>26</v>
      </c>
      <c r="G894" s="2">
        <v>180</v>
      </c>
      <c r="H894" t="s">
        <v>27</v>
      </c>
      <c r="I894" t="s">
        <v>181</v>
      </c>
      <c r="J894" t="s">
        <v>18</v>
      </c>
      <c r="K894" t="s">
        <v>19</v>
      </c>
    </row>
    <row r="895" spans="1:11">
      <c r="A895" s="1">
        <v>45792</v>
      </c>
      <c r="B895" t="s">
        <v>90</v>
      </c>
      <c r="C895" t="s">
        <v>104</v>
      </c>
      <c r="D895" t="s">
        <v>120</v>
      </c>
      <c r="E895" t="s">
        <v>184</v>
      </c>
      <c r="F895" t="s">
        <v>185</v>
      </c>
      <c r="G895" s="2">
        <v>300</v>
      </c>
      <c r="H895" t="s">
        <v>27</v>
      </c>
      <c r="I895" t="s">
        <v>181</v>
      </c>
      <c r="J895" t="s">
        <v>18</v>
      </c>
      <c r="K895" t="s">
        <v>19</v>
      </c>
    </row>
    <row r="896" spans="1:11">
      <c r="A896" s="1">
        <v>45792</v>
      </c>
      <c r="B896" t="s">
        <v>90</v>
      </c>
      <c r="C896" t="s">
        <v>104</v>
      </c>
      <c r="D896" t="s">
        <v>120</v>
      </c>
      <c r="E896" t="s">
        <v>186</v>
      </c>
      <c r="F896" t="s">
        <v>26</v>
      </c>
      <c r="G896" s="2">
        <v>130</v>
      </c>
      <c r="H896" t="s">
        <v>27</v>
      </c>
      <c r="I896" t="s">
        <v>181</v>
      </c>
      <c r="J896" t="s">
        <v>18</v>
      </c>
      <c r="K896" t="s">
        <v>19</v>
      </c>
    </row>
    <row r="897" spans="1:11">
      <c r="A897" s="1">
        <v>45823</v>
      </c>
      <c r="B897" t="s">
        <v>63</v>
      </c>
      <c r="C897" t="s">
        <v>64</v>
      </c>
      <c r="D897" t="s">
        <v>68</v>
      </c>
      <c r="E897" t="s">
        <v>180</v>
      </c>
      <c r="F897" t="s">
        <v>26</v>
      </c>
      <c r="G897" s="2">
        <v>99.79000000000001</v>
      </c>
      <c r="H897" t="s">
        <v>27</v>
      </c>
      <c r="I897" t="s">
        <v>181</v>
      </c>
      <c r="J897" t="s">
        <v>18</v>
      </c>
      <c r="K897" t="s">
        <v>19</v>
      </c>
    </row>
    <row r="898" spans="1:11">
      <c r="A898" s="1">
        <v>45823</v>
      </c>
      <c r="B898" t="s">
        <v>63</v>
      </c>
      <c r="C898" t="s">
        <v>64</v>
      </c>
      <c r="D898" t="s">
        <v>68</v>
      </c>
      <c r="E898" t="s">
        <v>182</v>
      </c>
      <c r="F898" t="s">
        <v>26</v>
      </c>
      <c r="G898" s="2">
        <v>60.57</v>
      </c>
      <c r="H898" t="s">
        <v>27</v>
      </c>
      <c r="I898" t="s">
        <v>181</v>
      </c>
      <c r="J898" t="s">
        <v>18</v>
      </c>
      <c r="K898" t="s">
        <v>19</v>
      </c>
    </row>
    <row r="899" spans="1:11">
      <c r="A899" s="1">
        <v>45823</v>
      </c>
      <c r="B899" t="s">
        <v>63</v>
      </c>
      <c r="C899" t="s">
        <v>64</v>
      </c>
      <c r="D899" t="s">
        <v>68</v>
      </c>
      <c r="E899" t="s">
        <v>183</v>
      </c>
      <c r="F899" t="s">
        <v>26</v>
      </c>
      <c r="G899" s="2">
        <v>120.2</v>
      </c>
      <c r="H899" t="s">
        <v>27</v>
      </c>
      <c r="I899" t="s">
        <v>181</v>
      </c>
      <c r="J899" t="s">
        <v>18</v>
      </c>
      <c r="K899" t="s">
        <v>19</v>
      </c>
    </row>
    <row r="900" spans="1:11">
      <c r="A900" s="1">
        <v>45823</v>
      </c>
      <c r="B900" t="s">
        <v>63</v>
      </c>
      <c r="C900" t="s">
        <v>64</v>
      </c>
      <c r="D900" t="s">
        <v>68</v>
      </c>
      <c r="E900" t="s">
        <v>187</v>
      </c>
      <c r="F900" t="s">
        <v>185</v>
      </c>
      <c r="G900" s="2">
        <v>119</v>
      </c>
      <c r="H900" t="s">
        <v>27</v>
      </c>
      <c r="I900" t="s">
        <v>181</v>
      </c>
      <c r="J900" t="s">
        <v>18</v>
      </c>
      <c r="K900" t="s">
        <v>19</v>
      </c>
    </row>
    <row r="901" spans="1:11">
      <c r="A901" s="1">
        <v>45823</v>
      </c>
      <c r="B901" t="s">
        <v>63</v>
      </c>
      <c r="C901" t="s">
        <v>64</v>
      </c>
      <c r="D901" t="s">
        <v>68</v>
      </c>
      <c r="E901" t="s">
        <v>184</v>
      </c>
      <c r="F901" t="s">
        <v>185</v>
      </c>
      <c r="G901" s="2">
        <v>264.55</v>
      </c>
      <c r="H901" t="s">
        <v>27</v>
      </c>
      <c r="I901" t="s">
        <v>181</v>
      </c>
      <c r="J901" t="s">
        <v>18</v>
      </c>
      <c r="K901" t="s">
        <v>19</v>
      </c>
    </row>
    <row r="902" spans="1:11">
      <c r="A902" s="1">
        <v>45823</v>
      </c>
      <c r="B902" t="s">
        <v>63</v>
      </c>
      <c r="C902" t="s">
        <v>64</v>
      </c>
      <c r="D902" t="s">
        <v>68</v>
      </c>
      <c r="E902" t="s">
        <v>186</v>
      </c>
      <c r="F902" t="s">
        <v>26</v>
      </c>
      <c r="G902" s="2">
        <v>146.69</v>
      </c>
      <c r="H902" t="s">
        <v>27</v>
      </c>
      <c r="I902" t="s">
        <v>181</v>
      </c>
      <c r="J902" t="s">
        <v>18</v>
      </c>
      <c r="K902" t="s">
        <v>19</v>
      </c>
    </row>
    <row r="903" spans="1:11">
      <c r="A903" s="1">
        <v>45823</v>
      </c>
      <c r="B903" t="s">
        <v>63</v>
      </c>
      <c r="C903" t="s">
        <v>64</v>
      </c>
      <c r="D903" t="s">
        <v>71</v>
      </c>
      <c r="E903" t="s">
        <v>180</v>
      </c>
      <c r="F903" t="s">
        <v>26</v>
      </c>
      <c r="G903" s="2">
        <v>99.61</v>
      </c>
      <c r="H903" t="s">
        <v>27</v>
      </c>
      <c r="I903" t="s">
        <v>181</v>
      </c>
      <c r="J903" t="s">
        <v>18</v>
      </c>
      <c r="K903" t="s">
        <v>19</v>
      </c>
    </row>
    <row r="904" spans="1:11">
      <c r="A904" s="1">
        <v>45823</v>
      </c>
      <c r="B904" t="s">
        <v>63</v>
      </c>
      <c r="C904" t="s">
        <v>64</v>
      </c>
      <c r="D904" t="s">
        <v>71</v>
      </c>
      <c r="E904" t="s">
        <v>182</v>
      </c>
      <c r="F904" t="s">
        <v>26</v>
      </c>
      <c r="G904" s="2">
        <v>63.44</v>
      </c>
      <c r="H904" t="s">
        <v>27</v>
      </c>
      <c r="I904" t="s">
        <v>181</v>
      </c>
      <c r="J904" t="s">
        <v>18</v>
      </c>
      <c r="K904" t="s">
        <v>19</v>
      </c>
    </row>
    <row r="905" spans="1:11">
      <c r="A905" s="1">
        <v>45823</v>
      </c>
      <c r="B905" t="s">
        <v>63</v>
      </c>
      <c r="C905" t="s">
        <v>64</v>
      </c>
      <c r="D905" t="s">
        <v>71</v>
      </c>
      <c r="E905" t="s">
        <v>183</v>
      </c>
      <c r="F905" t="s">
        <v>26</v>
      </c>
      <c r="G905" s="2">
        <v>108.84</v>
      </c>
      <c r="H905" t="s">
        <v>27</v>
      </c>
      <c r="I905" t="s">
        <v>181</v>
      </c>
      <c r="J905" t="s">
        <v>18</v>
      </c>
      <c r="K905" t="s">
        <v>19</v>
      </c>
    </row>
    <row r="906" spans="1:11">
      <c r="A906" s="1">
        <v>45823</v>
      </c>
      <c r="B906" t="s">
        <v>63</v>
      </c>
      <c r="C906" t="s">
        <v>64</v>
      </c>
      <c r="D906" t="s">
        <v>71</v>
      </c>
      <c r="E906" t="s">
        <v>184</v>
      </c>
      <c r="F906" t="s">
        <v>185</v>
      </c>
      <c r="G906" s="2">
        <v>267.06</v>
      </c>
      <c r="H906" t="s">
        <v>27</v>
      </c>
      <c r="I906" t="s">
        <v>181</v>
      </c>
      <c r="J906" t="s">
        <v>18</v>
      </c>
      <c r="K906" t="s">
        <v>19</v>
      </c>
    </row>
    <row r="907" spans="1:11">
      <c r="A907" s="1">
        <v>45823</v>
      </c>
      <c r="B907" t="s">
        <v>63</v>
      </c>
      <c r="C907" t="s">
        <v>64</v>
      </c>
      <c r="D907" t="s">
        <v>71</v>
      </c>
      <c r="E907" t="s">
        <v>186</v>
      </c>
      <c r="F907" t="s">
        <v>26</v>
      </c>
      <c r="G907" s="2">
        <v>130.97</v>
      </c>
      <c r="H907" t="s">
        <v>27</v>
      </c>
      <c r="I907" t="s">
        <v>181</v>
      </c>
      <c r="J907" t="s">
        <v>18</v>
      </c>
      <c r="K907" t="s">
        <v>19</v>
      </c>
    </row>
    <row r="908" spans="1:11">
      <c r="A908" s="1">
        <v>45823</v>
      </c>
      <c r="B908" t="s">
        <v>63</v>
      </c>
      <c r="C908" t="s">
        <v>64</v>
      </c>
      <c r="D908" t="s">
        <v>72</v>
      </c>
      <c r="E908" t="s">
        <v>180</v>
      </c>
      <c r="F908" t="s">
        <v>26</v>
      </c>
      <c r="G908" s="2">
        <v>100.1</v>
      </c>
      <c r="H908" t="s">
        <v>27</v>
      </c>
      <c r="I908" t="s">
        <v>181</v>
      </c>
      <c r="J908" t="s">
        <v>18</v>
      </c>
      <c r="K908" t="s">
        <v>19</v>
      </c>
    </row>
    <row r="909" spans="1:11">
      <c r="A909" s="1">
        <v>45823</v>
      </c>
      <c r="B909" t="s">
        <v>63</v>
      </c>
      <c r="C909" t="s">
        <v>64</v>
      </c>
      <c r="D909" t="s">
        <v>72</v>
      </c>
      <c r="E909" t="s">
        <v>182</v>
      </c>
      <c r="F909" t="s">
        <v>26</v>
      </c>
      <c r="G909" s="2">
        <v>63.31</v>
      </c>
      <c r="H909" t="s">
        <v>27</v>
      </c>
      <c r="I909" t="s">
        <v>181</v>
      </c>
      <c r="J909" t="s">
        <v>18</v>
      </c>
      <c r="K909" t="s">
        <v>19</v>
      </c>
    </row>
    <row r="910" spans="1:11">
      <c r="A910" s="1">
        <v>45823</v>
      </c>
      <c r="B910" t="s">
        <v>63</v>
      </c>
      <c r="C910" t="s">
        <v>64</v>
      </c>
      <c r="D910" t="s">
        <v>72</v>
      </c>
      <c r="E910" t="s">
        <v>183</v>
      </c>
      <c r="F910" t="s">
        <v>26</v>
      </c>
      <c r="G910" s="2">
        <v>118.25</v>
      </c>
      <c r="H910" t="s">
        <v>27</v>
      </c>
      <c r="I910" t="s">
        <v>181</v>
      </c>
      <c r="J910" t="s">
        <v>18</v>
      </c>
      <c r="K910" t="s">
        <v>19</v>
      </c>
    </row>
    <row r="911" spans="1:11">
      <c r="A911" s="1">
        <v>45823</v>
      </c>
      <c r="B911" t="s">
        <v>63</v>
      </c>
      <c r="C911" t="s">
        <v>64</v>
      </c>
      <c r="D911" t="s">
        <v>72</v>
      </c>
      <c r="E911" t="s">
        <v>187</v>
      </c>
      <c r="F911" t="s">
        <v>185</v>
      </c>
      <c r="G911" s="2">
        <v>200</v>
      </c>
      <c r="H911" t="s">
        <v>27</v>
      </c>
      <c r="I911" t="s">
        <v>181</v>
      </c>
      <c r="J911" t="s">
        <v>18</v>
      </c>
      <c r="K911" t="s">
        <v>19</v>
      </c>
    </row>
    <row r="912" spans="1:11">
      <c r="A912" s="1">
        <v>45823</v>
      </c>
      <c r="B912" t="s">
        <v>63</v>
      </c>
      <c r="C912" t="s">
        <v>64</v>
      </c>
      <c r="D912" t="s">
        <v>72</v>
      </c>
      <c r="E912" t="s">
        <v>184</v>
      </c>
      <c r="F912" t="s">
        <v>185</v>
      </c>
      <c r="G912" s="2">
        <v>278.29</v>
      </c>
      <c r="H912" t="s">
        <v>27</v>
      </c>
      <c r="I912" t="s">
        <v>181</v>
      </c>
      <c r="J912" t="s">
        <v>18</v>
      </c>
      <c r="K912" t="s">
        <v>19</v>
      </c>
    </row>
    <row r="913" spans="1:11">
      <c r="A913" s="1">
        <v>45823</v>
      </c>
      <c r="B913" t="s">
        <v>63</v>
      </c>
      <c r="C913" t="s">
        <v>64</v>
      </c>
      <c r="D913" t="s">
        <v>72</v>
      </c>
      <c r="E913" t="s">
        <v>186</v>
      </c>
      <c r="F913" t="s">
        <v>26</v>
      </c>
      <c r="G913" s="2">
        <v>138.07</v>
      </c>
      <c r="H913" t="s">
        <v>27</v>
      </c>
      <c r="I913" t="s">
        <v>181</v>
      </c>
      <c r="J913" t="s">
        <v>18</v>
      </c>
      <c r="K913" t="s">
        <v>19</v>
      </c>
    </row>
    <row r="914" spans="1:11">
      <c r="A914" s="1">
        <v>45823</v>
      </c>
      <c r="B914" t="s">
        <v>90</v>
      </c>
      <c r="C914" t="s">
        <v>104</v>
      </c>
      <c r="D914" t="s">
        <v>108</v>
      </c>
      <c r="E914" t="s">
        <v>180</v>
      </c>
      <c r="F914" t="s">
        <v>26</v>
      </c>
      <c r="G914" s="2">
        <v>95</v>
      </c>
      <c r="H914" t="s">
        <v>27</v>
      </c>
      <c r="I914" t="s">
        <v>181</v>
      </c>
      <c r="J914" t="s">
        <v>18</v>
      </c>
      <c r="K914" t="s">
        <v>19</v>
      </c>
    </row>
    <row r="915" spans="1:11">
      <c r="A915" s="1">
        <v>45823</v>
      </c>
      <c r="B915" t="s">
        <v>90</v>
      </c>
      <c r="C915" t="s">
        <v>104</v>
      </c>
      <c r="D915" t="s">
        <v>108</v>
      </c>
      <c r="E915" t="s">
        <v>182</v>
      </c>
      <c r="F915" t="s">
        <v>26</v>
      </c>
      <c r="G915" s="2">
        <v>65</v>
      </c>
      <c r="H915" t="s">
        <v>27</v>
      </c>
      <c r="I915" t="s">
        <v>181</v>
      </c>
      <c r="J915" t="s">
        <v>18</v>
      </c>
      <c r="K915" t="s">
        <v>19</v>
      </c>
    </row>
    <row r="916" spans="1:11">
      <c r="A916" s="1">
        <v>45823</v>
      </c>
      <c r="B916" t="s">
        <v>90</v>
      </c>
      <c r="C916" t="s">
        <v>104</v>
      </c>
      <c r="D916" t="s">
        <v>108</v>
      </c>
      <c r="E916" t="s">
        <v>183</v>
      </c>
      <c r="F916" t="s">
        <v>26</v>
      </c>
      <c r="G916" s="2">
        <v>120</v>
      </c>
      <c r="H916" t="s">
        <v>27</v>
      </c>
      <c r="I916" t="s">
        <v>181</v>
      </c>
      <c r="J916" t="s">
        <v>18</v>
      </c>
      <c r="K916" t="s">
        <v>19</v>
      </c>
    </row>
    <row r="917" spans="1:11">
      <c r="A917" s="1">
        <v>45823</v>
      </c>
      <c r="B917" t="s">
        <v>90</v>
      </c>
      <c r="C917" t="s">
        <v>104</v>
      </c>
      <c r="D917" t="s">
        <v>108</v>
      </c>
      <c r="E917" t="s">
        <v>25</v>
      </c>
      <c r="F917" t="s">
        <v>26</v>
      </c>
      <c r="G917" s="2">
        <v>180</v>
      </c>
      <c r="H917" t="s">
        <v>27</v>
      </c>
      <c r="I917" t="s">
        <v>181</v>
      </c>
      <c r="J917" t="s">
        <v>18</v>
      </c>
      <c r="K917" t="s">
        <v>19</v>
      </c>
    </row>
    <row r="918" spans="1:11">
      <c r="A918" s="1">
        <v>45823</v>
      </c>
      <c r="B918" t="s">
        <v>90</v>
      </c>
      <c r="C918" t="s">
        <v>104</v>
      </c>
      <c r="D918" t="s">
        <v>108</v>
      </c>
      <c r="E918" t="s">
        <v>184</v>
      </c>
      <c r="F918" t="s">
        <v>185</v>
      </c>
      <c r="G918" s="2">
        <v>300</v>
      </c>
      <c r="H918" t="s">
        <v>27</v>
      </c>
      <c r="I918" t="s">
        <v>181</v>
      </c>
      <c r="J918" t="s">
        <v>18</v>
      </c>
      <c r="K918" t="s">
        <v>19</v>
      </c>
    </row>
    <row r="919" spans="1:11">
      <c r="A919" s="1">
        <v>45823</v>
      </c>
      <c r="B919" t="s">
        <v>90</v>
      </c>
      <c r="C919" t="s">
        <v>104</v>
      </c>
      <c r="D919" t="s">
        <v>108</v>
      </c>
      <c r="E919" t="s">
        <v>186</v>
      </c>
      <c r="F919" t="s">
        <v>26</v>
      </c>
      <c r="G919" s="2">
        <v>150</v>
      </c>
      <c r="H919" t="s">
        <v>27</v>
      </c>
      <c r="I919" t="s">
        <v>181</v>
      </c>
      <c r="J919" t="s">
        <v>18</v>
      </c>
      <c r="K919" t="s">
        <v>19</v>
      </c>
    </row>
    <row r="920" spans="1:11">
      <c r="A920" s="1">
        <v>45823</v>
      </c>
      <c r="B920" t="s">
        <v>90</v>
      </c>
      <c r="C920" t="s">
        <v>104</v>
      </c>
      <c r="D920" t="s">
        <v>109</v>
      </c>
      <c r="E920" t="s">
        <v>180</v>
      </c>
      <c r="F920" t="s">
        <v>26</v>
      </c>
      <c r="G920" s="2">
        <v>90</v>
      </c>
      <c r="H920" t="s">
        <v>27</v>
      </c>
      <c r="I920" t="s">
        <v>181</v>
      </c>
      <c r="J920" t="s">
        <v>18</v>
      </c>
      <c r="K920" t="s">
        <v>19</v>
      </c>
    </row>
    <row r="921" spans="1:11">
      <c r="A921" s="1">
        <v>45823</v>
      </c>
      <c r="B921" t="s">
        <v>90</v>
      </c>
      <c r="C921" t="s">
        <v>104</v>
      </c>
      <c r="D921" t="s">
        <v>109</v>
      </c>
      <c r="E921" t="s">
        <v>182</v>
      </c>
      <c r="F921" t="s">
        <v>26</v>
      </c>
      <c r="G921" s="2">
        <v>100</v>
      </c>
      <c r="H921" t="s">
        <v>27</v>
      </c>
      <c r="I921" t="s">
        <v>181</v>
      </c>
      <c r="J921" t="s">
        <v>18</v>
      </c>
      <c r="K921" t="s">
        <v>19</v>
      </c>
    </row>
    <row r="922" spans="1:11">
      <c r="A922" s="1">
        <v>45823</v>
      </c>
      <c r="B922" t="s">
        <v>90</v>
      </c>
      <c r="C922" t="s">
        <v>104</v>
      </c>
      <c r="D922" t="s">
        <v>109</v>
      </c>
      <c r="E922" t="s">
        <v>183</v>
      </c>
      <c r="F922" t="s">
        <v>26</v>
      </c>
      <c r="G922" s="2">
        <v>135</v>
      </c>
      <c r="H922" t="s">
        <v>27</v>
      </c>
      <c r="I922" t="s">
        <v>181</v>
      </c>
      <c r="J922" t="s">
        <v>18</v>
      </c>
      <c r="K922" t="s">
        <v>19</v>
      </c>
    </row>
    <row r="923" spans="1:11">
      <c r="A923" s="1">
        <v>45823</v>
      </c>
      <c r="B923" t="s">
        <v>90</v>
      </c>
      <c r="C923" t="s">
        <v>104</v>
      </c>
      <c r="D923" t="s">
        <v>109</v>
      </c>
      <c r="E923" t="s">
        <v>184</v>
      </c>
      <c r="F923" t="s">
        <v>185</v>
      </c>
      <c r="G923" s="2">
        <v>312.5</v>
      </c>
      <c r="H923" t="s">
        <v>27</v>
      </c>
      <c r="I923" t="s">
        <v>181</v>
      </c>
      <c r="J923" t="s">
        <v>18</v>
      </c>
      <c r="K923" t="s">
        <v>19</v>
      </c>
    </row>
    <row r="924" spans="1:11">
      <c r="A924" s="1">
        <v>45823</v>
      </c>
      <c r="B924" t="s">
        <v>90</v>
      </c>
      <c r="C924" t="s">
        <v>104</v>
      </c>
      <c r="D924" t="s">
        <v>109</v>
      </c>
      <c r="E924" t="s">
        <v>186</v>
      </c>
      <c r="F924" t="s">
        <v>26</v>
      </c>
      <c r="G924" s="2">
        <v>170</v>
      </c>
      <c r="H924" t="s">
        <v>27</v>
      </c>
      <c r="I924" t="s">
        <v>181</v>
      </c>
      <c r="J924" t="s">
        <v>18</v>
      </c>
      <c r="K924" t="s">
        <v>19</v>
      </c>
    </row>
    <row r="925" spans="1:11">
      <c r="A925" s="1">
        <v>45823</v>
      </c>
      <c r="B925" t="s">
        <v>90</v>
      </c>
      <c r="C925" t="s">
        <v>104</v>
      </c>
      <c r="D925" t="s">
        <v>112</v>
      </c>
      <c r="E925" t="s">
        <v>180</v>
      </c>
      <c r="F925" t="s">
        <v>26</v>
      </c>
      <c r="G925" s="2">
        <v>85</v>
      </c>
      <c r="H925" t="s">
        <v>27</v>
      </c>
      <c r="I925" t="s">
        <v>181</v>
      </c>
      <c r="J925" t="s">
        <v>18</v>
      </c>
      <c r="K925" t="s">
        <v>19</v>
      </c>
    </row>
    <row r="926" spans="1:11">
      <c r="A926" s="1">
        <v>45823</v>
      </c>
      <c r="B926" t="s">
        <v>90</v>
      </c>
      <c r="C926" t="s">
        <v>104</v>
      </c>
      <c r="D926" t="s">
        <v>112</v>
      </c>
      <c r="E926" t="s">
        <v>182</v>
      </c>
      <c r="F926" t="s">
        <v>26</v>
      </c>
      <c r="G926" s="2">
        <v>63.33</v>
      </c>
      <c r="H926" t="s">
        <v>27</v>
      </c>
      <c r="I926" t="s">
        <v>181</v>
      </c>
      <c r="J926" t="s">
        <v>18</v>
      </c>
      <c r="K926" t="s">
        <v>19</v>
      </c>
    </row>
    <row r="927" spans="1:11">
      <c r="A927" s="1">
        <v>45823</v>
      </c>
      <c r="B927" t="s">
        <v>90</v>
      </c>
      <c r="C927" t="s">
        <v>104</v>
      </c>
      <c r="D927" t="s">
        <v>112</v>
      </c>
      <c r="E927" t="s">
        <v>183</v>
      </c>
      <c r="F927" t="s">
        <v>26</v>
      </c>
      <c r="G927" s="2">
        <v>176.67</v>
      </c>
      <c r="H927" t="s">
        <v>27</v>
      </c>
      <c r="I927" t="s">
        <v>181</v>
      </c>
      <c r="J927" t="s">
        <v>18</v>
      </c>
      <c r="K927" t="s">
        <v>19</v>
      </c>
    </row>
    <row r="928" spans="1:11">
      <c r="A928" s="1">
        <v>45823</v>
      </c>
      <c r="B928" t="s">
        <v>90</v>
      </c>
      <c r="C928" t="s">
        <v>104</v>
      </c>
      <c r="D928" t="s">
        <v>112</v>
      </c>
      <c r="E928" t="s">
        <v>184</v>
      </c>
      <c r="F928" t="s">
        <v>185</v>
      </c>
      <c r="G928" s="2">
        <v>286.67</v>
      </c>
      <c r="H928" t="s">
        <v>27</v>
      </c>
      <c r="I928" t="s">
        <v>181</v>
      </c>
      <c r="J928" t="s">
        <v>18</v>
      </c>
      <c r="K928" t="s">
        <v>19</v>
      </c>
    </row>
    <row r="929" spans="1:11">
      <c r="A929" s="1">
        <v>45823</v>
      </c>
      <c r="B929" t="s">
        <v>90</v>
      </c>
      <c r="C929" t="s">
        <v>104</v>
      </c>
      <c r="D929" t="s">
        <v>112</v>
      </c>
      <c r="E929" t="s">
        <v>186</v>
      </c>
      <c r="F929" t="s">
        <v>26</v>
      </c>
      <c r="G929" s="2">
        <v>143.33</v>
      </c>
      <c r="H929" t="s">
        <v>27</v>
      </c>
      <c r="I929" t="s">
        <v>181</v>
      </c>
      <c r="J929" t="s">
        <v>18</v>
      </c>
      <c r="K929" t="s">
        <v>19</v>
      </c>
    </row>
    <row r="930" spans="1:11">
      <c r="A930" s="1">
        <v>45823</v>
      </c>
      <c r="B930" t="s">
        <v>90</v>
      </c>
      <c r="C930" t="s">
        <v>104</v>
      </c>
      <c r="D930" t="s">
        <v>113</v>
      </c>
      <c r="E930" t="s">
        <v>180</v>
      </c>
      <c r="F930" t="s">
        <v>26</v>
      </c>
      <c r="G930" s="2">
        <v>85</v>
      </c>
      <c r="H930" t="s">
        <v>27</v>
      </c>
      <c r="I930" t="s">
        <v>181</v>
      </c>
      <c r="J930" t="s">
        <v>18</v>
      </c>
      <c r="K930" t="s">
        <v>19</v>
      </c>
    </row>
    <row r="931" spans="1:11">
      <c r="A931" s="1">
        <v>45823</v>
      </c>
      <c r="B931" t="s">
        <v>90</v>
      </c>
      <c r="C931" t="s">
        <v>104</v>
      </c>
      <c r="D931" t="s">
        <v>113</v>
      </c>
      <c r="E931" t="s">
        <v>182</v>
      </c>
      <c r="F931" t="s">
        <v>26</v>
      </c>
      <c r="G931" s="2">
        <v>70</v>
      </c>
      <c r="H931" t="s">
        <v>27</v>
      </c>
      <c r="I931" t="s">
        <v>181</v>
      </c>
      <c r="J931" t="s">
        <v>18</v>
      </c>
      <c r="K931" t="s">
        <v>19</v>
      </c>
    </row>
    <row r="932" spans="1:11">
      <c r="A932" s="1">
        <v>45823</v>
      </c>
      <c r="B932" t="s">
        <v>90</v>
      </c>
      <c r="C932" t="s">
        <v>104</v>
      </c>
      <c r="D932" t="s">
        <v>113</v>
      </c>
      <c r="E932" t="s">
        <v>183</v>
      </c>
      <c r="F932" t="s">
        <v>26</v>
      </c>
      <c r="G932" s="2">
        <v>153.33</v>
      </c>
      <c r="H932" t="s">
        <v>27</v>
      </c>
      <c r="I932" t="s">
        <v>181</v>
      </c>
      <c r="J932" t="s">
        <v>18</v>
      </c>
      <c r="K932" t="s">
        <v>19</v>
      </c>
    </row>
    <row r="933" spans="1:11">
      <c r="A933" s="1">
        <v>45823</v>
      </c>
      <c r="B933" t="s">
        <v>90</v>
      </c>
      <c r="C933" t="s">
        <v>104</v>
      </c>
      <c r="D933" t="s">
        <v>113</v>
      </c>
      <c r="E933" t="s">
        <v>184</v>
      </c>
      <c r="F933" t="s">
        <v>185</v>
      </c>
      <c r="G933" s="2">
        <v>290</v>
      </c>
      <c r="H933" t="s">
        <v>27</v>
      </c>
      <c r="I933" t="s">
        <v>181</v>
      </c>
      <c r="J933" t="s">
        <v>18</v>
      </c>
      <c r="K933" t="s">
        <v>19</v>
      </c>
    </row>
    <row r="934" spans="1:11">
      <c r="A934" s="1">
        <v>45823</v>
      </c>
      <c r="B934" t="s">
        <v>90</v>
      </c>
      <c r="C934" t="s">
        <v>104</v>
      </c>
      <c r="D934" t="s">
        <v>113</v>
      </c>
      <c r="E934" t="s">
        <v>186</v>
      </c>
      <c r="F934" t="s">
        <v>26</v>
      </c>
      <c r="G934" s="2">
        <v>160</v>
      </c>
      <c r="H934" t="s">
        <v>27</v>
      </c>
      <c r="I934" t="s">
        <v>181</v>
      </c>
      <c r="J934" t="s">
        <v>18</v>
      </c>
      <c r="K934" t="s">
        <v>19</v>
      </c>
    </row>
    <row r="935" spans="1:11">
      <c r="A935" s="1">
        <v>45823</v>
      </c>
      <c r="B935" t="s">
        <v>90</v>
      </c>
      <c r="C935" t="s">
        <v>104</v>
      </c>
      <c r="D935" t="s">
        <v>114</v>
      </c>
      <c r="E935" t="s">
        <v>180</v>
      </c>
      <c r="F935" t="s">
        <v>26</v>
      </c>
      <c r="G935" s="2">
        <v>85</v>
      </c>
      <c r="H935" t="s">
        <v>27</v>
      </c>
      <c r="I935" t="s">
        <v>181</v>
      </c>
      <c r="J935" t="s">
        <v>18</v>
      </c>
      <c r="K935" t="s">
        <v>19</v>
      </c>
    </row>
    <row r="936" spans="1:11">
      <c r="A936" s="1">
        <v>45823</v>
      </c>
      <c r="B936" t="s">
        <v>90</v>
      </c>
      <c r="C936" t="s">
        <v>104</v>
      </c>
      <c r="D936" t="s">
        <v>114</v>
      </c>
      <c r="E936" t="s">
        <v>182</v>
      </c>
      <c r="F936" t="s">
        <v>26</v>
      </c>
      <c r="G936" s="2">
        <v>66.67</v>
      </c>
      <c r="H936" t="s">
        <v>27</v>
      </c>
      <c r="I936" t="s">
        <v>181</v>
      </c>
      <c r="J936" t="s">
        <v>18</v>
      </c>
      <c r="K936" t="s">
        <v>19</v>
      </c>
    </row>
    <row r="937" spans="1:11">
      <c r="A937" s="1">
        <v>45823</v>
      </c>
      <c r="B937" t="s">
        <v>90</v>
      </c>
      <c r="C937" t="s">
        <v>104</v>
      </c>
      <c r="D937" t="s">
        <v>114</v>
      </c>
      <c r="E937" t="s">
        <v>183</v>
      </c>
      <c r="F937" t="s">
        <v>26</v>
      </c>
      <c r="G937" s="2">
        <v>140</v>
      </c>
      <c r="H937" t="s">
        <v>27</v>
      </c>
      <c r="I937" t="s">
        <v>181</v>
      </c>
      <c r="J937" t="s">
        <v>18</v>
      </c>
      <c r="K937" t="s">
        <v>19</v>
      </c>
    </row>
    <row r="938" spans="1:11">
      <c r="A938" s="1">
        <v>45823</v>
      </c>
      <c r="B938" t="s">
        <v>90</v>
      </c>
      <c r="C938" t="s">
        <v>104</v>
      </c>
      <c r="D938" t="s">
        <v>114</v>
      </c>
      <c r="E938" t="s">
        <v>184</v>
      </c>
      <c r="F938" t="s">
        <v>185</v>
      </c>
      <c r="G938" s="2">
        <v>286.67</v>
      </c>
      <c r="H938" t="s">
        <v>27</v>
      </c>
      <c r="I938" t="s">
        <v>181</v>
      </c>
      <c r="J938" t="s">
        <v>18</v>
      </c>
      <c r="K938" t="s">
        <v>19</v>
      </c>
    </row>
    <row r="939" spans="1:11">
      <c r="A939" s="1">
        <v>45823</v>
      </c>
      <c r="B939" t="s">
        <v>90</v>
      </c>
      <c r="C939" t="s">
        <v>104</v>
      </c>
      <c r="D939" t="s">
        <v>114</v>
      </c>
      <c r="E939" t="s">
        <v>186</v>
      </c>
      <c r="F939" t="s">
        <v>26</v>
      </c>
      <c r="G939" s="2">
        <v>163.33</v>
      </c>
      <c r="H939" t="s">
        <v>27</v>
      </c>
      <c r="I939" t="s">
        <v>181</v>
      </c>
      <c r="J939" t="s">
        <v>18</v>
      </c>
      <c r="K939" t="s">
        <v>19</v>
      </c>
    </row>
    <row r="940" spans="1:11">
      <c r="A940" s="1">
        <v>45823</v>
      </c>
      <c r="B940" t="s">
        <v>90</v>
      </c>
      <c r="C940" t="s">
        <v>104</v>
      </c>
      <c r="D940" t="s">
        <v>118</v>
      </c>
      <c r="E940" t="s">
        <v>180</v>
      </c>
      <c r="F940" t="s">
        <v>26</v>
      </c>
      <c r="G940" s="2">
        <v>90</v>
      </c>
      <c r="H940" t="s">
        <v>27</v>
      </c>
      <c r="I940" t="s">
        <v>181</v>
      </c>
      <c r="J940" t="s">
        <v>18</v>
      </c>
      <c r="K940" t="s">
        <v>19</v>
      </c>
    </row>
    <row r="941" spans="1:11">
      <c r="A941" s="1">
        <v>45823</v>
      </c>
      <c r="B941" t="s">
        <v>90</v>
      </c>
      <c r="C941" t="s">
        <v>104</v>
      </c>
      <c r="D941" t="s">
        <v>118</v>
      </c>
      <c r="E941" t="s">
        <v>182</v>
      </c>
      <c r="F941" t="s">
        <v>26</v>
      </c>
      <c r="G941" s="2">
        <v>90</v>
      </c>
      <c r="H941" t="s">
        <v>27</v>
      </c>
      <c r="I941" t="s">
        <v>181</v>
      </c>
      <c r="J941" t="s">
        <v>18</v>
      </c>
      <c r="K941" t="s">
        <v>19</v>
      </c>
    </row>
    <row r="942" spans="1:11">
      <c r="A942" s="1">
        <v>45823</v>
      </c>
      <c r="B942" t="s">
        <v>90</v>
      </c>
      <c r="C942" t="s">
        <v>104</v>
      </c>
      <c r="D942" t="s">
        <v>118</v>
      </c>
      <c r="E942" t="s">
        <v>183</v>
      </c>
      <c r="F942" t="s">
        <v>26</v>
      </c>
      <c r="G942" s="2">
        <v>113.33</v>
      </c>
      <c r="H942" t="s">
        <v>27</v>
      </c>
      <c r="I942" t="s">
        <v>181</v>
      </c>
      <c r="J942" t="s">
        <v>18</v>
      </c>
      <c r="K942" t="s">
        <v>19</v>
      </c>
    </row>
    <row r="943" spans="1:11">
      <c r="A943" s="1">
        <v>45823</v>
      </c>
      <c r="B943" t="s">
        <v>90</v>
      </c>
      <c r="C943" t="s">
        <v>104</v>
      </c>
      <c r="D943" t="s">
        <v>118</v>
      </c>
      <c r="E943" t="s">
        <v>184</v>
      </c>
      <c r="F943" t="s">
        <v>185</v>
      </c>
      <c r="G943" s="2">
        <v>300</v>
      </c>
      <c r="H943" t="s">
        <v>27</v>
      </c>
      <c r="I943" t="s">
        <v>181</v>
      </c>
      <c r="J943" t="s">
        <v>18</v>
      </c>
      <c r="K943" t="s">
        <v>19</v>
      </c>
    </row>
    <row r="944" spans="1:11">
      <c r="A944" s="1">
        <v>45823</v>
      </c>
      <c r="B944" t="s">
        <v>90</v>
      </c>
      <c r="C944" t="s">
        <v>104</v>
      </c>
      <c r="D944" t="s">
        <v>118</v>
      </c>
      <c r="E944" t="s">
        <v>186</v>
      </c>
      <c r="F944" t="s">
        <v>26</v>
      </c>
      <c r="G944" s="2">
        <v>133.33</v>
      </c>
      <c r="H944" t="s">
        <v>27</v>
      </c>
      <c r="I944" t="s">
        <v>181</v>
      </c>
      <c r="J944" t="s">
        <v>18</v>
      </c>
      <c r="K944" t="s">
        <v>19</v>
      </c>
    </row>
    <row r="945" spans="1:11">
      <c r="A945" s="1">
        <v>45823</v>
      </c>
      <c r="B945" t="s">
        <v>90</v>
      </c>
      <c r="C945" t="s">
        <v>104</v>
      </c>
      <c r="D945" t="s">
        <v>119</v>
      </c>
      <c r="E945" t="s">
        <v>180</v>
      </c>
      <c r="F945" t="s">
        <v>26</v>
      </c>
      <c r="G945" s="2">
        <v>87.5</v>
      </c>
      <c r="H945" t="s">
        <v>27</v>
      </c>
      <c r="I945" t="s">
        <v>181</v>
      </c>
      <c r="J945" t="s">
        <v>18</v>
      </c>
      <c r="K945" t="s">
        <v>19</v>
      </c>
    </row>
    <row r="946" spans="1:11">
      <c r="A946" s="1">
        <v>45823</v>
      </c>
      <c r="B946" t="s">
        <v>90</v>
      </c>
      <c r="C946" t="s">
        <v>104</v>
      </c>
      <c r="D946" t="s">
        <v>119</v>
      </c>
      <c r="E946" t="s">
        <v>182</v>
      </c>
      <c r="F946" t="s">
        <v>26</v>
      </c>
      <c r="G946" s="2">
        <v>60</v>
      </c>
      <c r="H946" t="s">
        <v>27</v>
      </c>
      <c r="I946" t="s">
        <v>181</v>
      </c>
      <c r="J946" t="s">
        <v>18</v>
      </c>
      <c r="K946" t="s">
        <v>19</v>
      </c>
    </row>
    <row r="947" spans="1:11">
      <c r="A947" s="1">
        <v>45823</v>
      </c>
      <c r="B947" t="s">
        <v>90</v>
      </c>
      <c r="C947" t="s">
        <v>104</v>
      </c>
      <c r="D947" t="s">
        <v>119</v>
      </c>
      <c r="E947" t="s">
        <v>183</v>
      </c>
      <c r="F947" t="s">
        <v>26</v>
      </c>
      <c r="G947" s="2">
        <v>175</v>
      </c>
      <c r="H947" t="s">
        <v>27</v>
      </c>
      <c r="I947" t="s">
        <v>181</v>
      </c>
      <c r="J947" t="s">
        <v>18</v>
      </c>
      <c r="K947" t="s">
        <v>19</v>
      </c>
    </row>
    <row r="948" spans="1:11">
      <c r="A948" s="1">
        <v>45823</v>
      </c>
      <c r="B948" t="s">
        <v>90</v>
      </c>
      <c r="C948" t="s">
        <v>104</v>
      </c>
      <c r="D948" t="s">
        <v>119</v>
      </c>
      <c r="E948" t="s">
        <v>184</v>
      </c>
      <c r="F948" t="s">
        <v>185</v>
      </c>
      <c r="G948" s="2">
        <v>310</v>
      </c>
      <c r="H948" t="s">
        <v>27</v>
      </c>
      <c r="I948" t="s">
        <v>181</v>
      </c>
      <c r="J948" t="s">
        <v>18</v>
      </c>
      <c r="K948" t="s">
        <v>19</v>
      </c>
    </row>
    <row r="949" spans="1:11">
      <c r="A949" s="1">
        <v>45823</v>
      </c>
      <c r="B949" t="s">
        <v>90</v>
      </c>
      <c r="C949" t="s">
        <v>104</v>
      </c>
      <c r="D949" t="s">
        <v>119</v>
      </c>
      <c r="E949" t="s">
        <v>186</v>
      </c>
      <c r="F949" t="s">
        <v>26</v>
      </c>
      <c r="G949" s="2">
        <v>135</v>
      </c>
      <c r="H949" t="s">
        <v>27</v>
      </c>
      <c r="I949" t="s">
        <v>181</v>
      </c>
      <c r="J949" t="s">
        <v>18</v>
      </c>
      <c r="K949" t="s">
        <v>19</v>
      </c>
    </row>
    <row r="950" spans="1:11">
      <c r="A950" s="1">
        <v>45823</v>
      </c>
      <c r="B950" t="s">
        <v>90</v>
      </c>
      <c r="C950" t="s">
        <v>104</v>
      </c>
      <c r="D950" t="s">
        <v>120</v>
      </c>
      <c r="E950" t="s">
        <v>180</v>
      </c>
      <c r="F950" t="s">
        <v>26</v>
      </c>
      <c r="G950" s="2">
        <v>86.67</v>
      </c>
      <c r="H950" t="s">
        <v>27</v>
      </c>
      <c r="I950" t="s">
        <v>181</v>
      </c>
      <c r="J950" t="s">
        <v>18</v>
      </c>
      <c r="K950" t="s">
        <v>19</v>
      </c>
    </row>
    <row r="951" spans="1:11">
      <c r="A951" s="1">
        <v>45823</v>
      </c>
      <c r="B951" t="s">
        <v>90</v>
      </c>
      <c r="C951" t="s">
        <v>104</v>
      </c>
      <c r="D951" t="s">
        <v>120</v>
      </c>
      <c r="E951" t="s">
        <v>182</v>
      </c>
      <c r="F951" t="s">
        <v>26</v>
      </c>
      <c r="G951" s="2">
        <v>76.67</v>
      </c>
      <c r="H951" t="s">
        <v>27</v>
      </c>
      <c r="I951" t="s">
        <v>181</v>
      </c>
      <c r="J951" t="s">
        <v>18</v>
      </c>
      <c r="K951" t="s">
        <v>19</v>
      </c>
    </row>
    <row r="952" spans="1:11">
      <c r="A952" s="1">
        <v>45823</v>
      </c>
      <c r="B952" t="s">
        <v>90</v>
      </c>
      <c r="C952" t="s">
        <v>104</v>
      </c>
      <c r="D952" t="s">
        <v>120</v>
      </c>
      <c r="E952" t="s">
        <v>183</v>
      </c>
      <c r="F952" t="s">
        <v>26</v>
      </c>
      <c r="G952" s="2">
        <v>130</v>
      </c>
      <c r="H952" t="s">
        <v>27</v>
      </c>
      <c r="I952" t="s">
        <v>181</v>
      </c>
      <c r="J952" t="s">
        <v>18</v>
      </c>
      <c r="K952" t="s">
        <v>19</v>
      </c>
    </row>
    <row r="953" spans="1:11">
      <c r="A953" s="1">
        <v>45823</v>
      </c>
      <c r="B953" t="s">
        <v>90</v>
      </c>
      <c r="C953" t="s">
        <v>104</v>
      </c>
      <c r="D953" t="s">
        <v>120</v>
      </c>
      <c r="E953" t="s">
        <v>184</v>
      </c>
      <c r="F953" t="s">
        <v>185</v>
      </c>
      <c r="G953" s="2">
        <v>276.67</v>
      </c>
      <c r="H953" t="s">
        <v>27</v>
      </c>
      <c r="I953" t="s">
        <v>181</v>
      </c>
      <c r="J953" t="s">
        <v>18</v>
      </c>
      <c r="K953" t="s">
        <v>19</v>
      </c>
    </row>
    <row r="954" spans="1:11">
      <c r="A954" s="1">
        <v>45823</v>
      </c>
      <c r="B954" t="s">
        <v>90</v>
      </c>
      <c r="C954" t="s">
        <v>104</v>
      </c>
      <c r="D954" t="s">
        <v>120</v>
      </c>
      <c r="E954" t="s">
        <v>186</v>
      </c>
      <c r="F954" t="s">
        <v>26</v>
      </c>
      <c r="G954" s="2">
        <v>130</v>
      </c>
      <c r="H954" t="s">
        <v>27</v>
      </c>
      <c r="I954" t="s">
        <v>181</v>
      </c>
      <c r="J954" t="s">
        <v>18</v>
      </c>
      <c r="K954" t="s">
        <v>19</v>
      </c>
    </row>
    <row r="955" spans="1:11">
      <c r="A955" s="1">
        <v>45823</v>
      </c>
      <c r="B955" t="s">
        <v>90</v>
      </c>
      <c r="C955" t="s">
        <v>104</v>
      </c>
      <c r="D955" t="s">
        <v>157</v>
      </c>
      <c r="E955" t="s">
        <v>180</v>
      </c>
      <c r="F955" t="s">
        <v>26</v>
      </c>
      <c r="G955" s="2">
        <v>100</v>
      </c>
      <c r="H955" t="s">
        <v>27</v>
      </c>
      <c r="I955" t="s">
        <v>181</v>
      </c>
      <c r="J955" t="s">
        <v>18</v>
      </c>
      <c r="K955" t="s">
        <v>19</v>
      </c>
    </row>
    <row r="956" spans="1:11">
      <c r="A956" s="1">
        <v>45823</v>
      </c>
      <c r="B956" t="s">
        <v>90</v>
      </c>
      <c r="C956" t="s">
        <v>104</v>
      </c>
      <c r="D956" t="s">
        <v>157</v>
      </c>
      <c r="E956" t="s">
        <v>182</v>
      </c>
      <c r="F956" t="s">
        <v>26</v>
      </c>
      <c r="G956" s="2">
        <v>70</v>
      </c>
      <c r="H956" t="s">
        <v>27</v>
      </c>
      <c r="I956" t="s">
        <v>181</v>
      </c>
      <c r="J956" t="s">
        <v>18</v>
      </c>
      <c r="K956" t="s">
        <v>19</v>
      </c>
    </row>
    <row r="957" spans="1:11">
      <c r="A957" s="1">
        <v>45823</v>
      </c>
      <c r="B957" t="s">
        <v>90</v>
      </c>
      <c r="C957" t="s">
        <v>104</v>
      </c>
      <c r="D957" t="s">
        <v>157</v>
      </c>
      <c r="E957" t="s">
        <v>183</v>
      </c>
      <c r="F957" t="s">
        <v>26</v>
      </c>
      <c r="G957" s="2">
        <v>200</v>
      </c>
      <c r="H957" t="s">
        <v>27</v>
      </c>
      <c r="I957" t="s">
        <v>181</v>
      </c>
      <c r="J957" t="s">
        <v>18</v>
      </c>
      <c r="K957" t="s">
        <v>19</v>
      </c>
    </row>
    <row r="958" spans="1:11">
      <c r="A958" s="1">
        <v>45823</v>
      </c>
      <c r="B958" t="s">
        <v>90</v>
      </c>
      <c r="C958" t="s">
        <v>104</v>
      </c>
      <c r="D958" t="s">
        <v>157</v>
      </c>
      <c r="E958" t="s">
        <v>184</v>
      </c>
      <c r="F958" t="s">
        <v>185</v>
      </c>
      <c r="G958" s="2">
        <v>300</v>
      </c>
      <c r="H958" t="s">
        <v>27</v>
      </c>
      <c r="I958" t="s">
        <v>181</v>
      </c>
      <c r="J958" t="s">
        <v>18</v>
      </c>
      <c r="K958" t="s">
        <v>19</v>
      </c>
    </row>
    <row r="959" spans="1:11">
      <c r="A959" s="1">
        <v>45823</v>
      </c>
      <c r="B959" t="s">
        <v>90</v>
      </c>
      <c r="C959" t="s">
        <v>104</v>
      </c>
      <c r="D959" t="s">
        <v>157</v>
      </c>
      <c r="E959" t="s">
        <v>186</v>
      </c>
      <c r="F959" t="s">
        <v>26</v>
      </c>
      <c r="G959" s="2">
        <v>160</v>
      </c>
      <c r="H959" t="s">
        <v>27</v>
      </c>
      <c r="I959" t="s">
        <v>181</v>
      </c>
      <c r="J959" t="s">
        <v>18</v>
      </c>
      <c r="K959" t="s">
        <v>19</v>
      </c>
    </row>
    <row r="960" spans="1:11">
      <c r="A960" s="1">
        <v>45853</v>
      </c>
      <c r="B960" t="s">
        <v>63</v>
      </c>
      <c r="C960" t="s">
        <v>64</v>
      </c>
      <c r="D960" t="s">
        <v>68</v>
      </c>
      <c r="E960" t="s">
        <v>180</v>
      </c>
      <c r="F960" t="s">
        <v>26</v>
      </c>
      <c r="G960" s="2">
        <v>100</v>
      </c>
      <c r="H960" t="s">
        <v>27</v>
      </c>
      <c r="I960" t="s">
        <v>181</v>
      </c>
      <c r="J960" t="s">
        <v>18</v>
      </c>
      <c r="K960" t="s">
        <v>19</v>
      </c>
    </row>
    <row r="961" spans="1:11">
      <c r="A961" s="1">
        <v>45853</v>
      </c>
      <c r="B961" t="s">
        <v>63</v>
      </c>
      <c r="C961" t="s">
        <v>64</v>
      </c>
      <c r="D961" t="s">
        <v>68</v>
      </c>
      <c r="E961" t="s">
        <v>182</v>
      </c>
      <c r="F961" t="s">
        <v>26</v>
      </c>
      <c r="G961" s="2">
        <v>53.89</v>
      </c>
      <c r="H961" t="s">
        <v>27</v>
      </c>
      <c r="I961" t="s">
        <v>181</v>
      </c>
      <c r="J961" t="s">
        <v>18</v>
      </c>
      <c r="K961" t="s">
        <v>19</v>
      </c>
    </row>
    <row r="962" spans="1:11">
      <c r="A962" s="1">
        <v>45853</v>
      </c>
      <c r="B962" t="s">
        <v>63</v>
      </c>
      <c r="C962" t="s">
        <v>64</v>
      </c>
      <c r="D962" t="s">
        <v>68</v>
      </c>
      <c r="E962" t="s">
        <v>183</v>
      </c>
      <c r="F962" t="s">
        <v>26</v>
      </c>
      <c r="G962" s="2">
        <v>117.09</v>
      </c>
      <c r="H962" t="s">
        <v>27</v>
      </c>
      <c r="I962" t="s">
        <v>181</v>
      </c>
      <c r="J962" t="s">
        <v>18</v>
      </c>
      <c r="K962" t="s">
        <v>19</v>
      </c>
    </row>
    <row r="963" spans="1:11">
      <c r="A963" s="1">
        <v>45853</v>
      </c>
      <c r="B963" t="s">
        <v>63</v>
      </c>
      <c r="C963" t="s">
        <v>64</v>
      </c>
      <c r="D963" t="s">
        <v>68</v>
      </c>
      <c r="E963" t="s">
        <v>187</v>
      </c>
      <c r="F963" t="s">
        <v>185</v>
      </c>
      <c r="G963" s="2">
        <v>50</v>
      </c>
      <c r="H963" t="s">
        <v>27</v>
      </c>
      <c r="I963" t="s">
        <v>181</v>
      </c>
      <c r="J963" t="s">
        <v>18</v>
      </c>
      <c r="K963" t="s">
        <v>19</v>
      </c>
    </row>
    <row r="964" spans="1:11">
      <c r="A964" s="1">
        <v>45853</v>
      </c>
      <c r="B964" t="s">
        <v>63</v>
      </c>
      <c r="C964" t="s">
        <v>64</v>
      </c>
      <c r="D964" t="s">
        <v>68</v>
      </c>
      <c r="E964" t="s">
        <v>25</v>
      </c>
      <c r="F964" t="s">
        <v>26</v>
      </c>
      <c r="G964" s="2">
        <v>125.25</v>
      </c>
      <c r="H964" t="s">
        <v>27</v>
      </c>
      <c r="I964" t="s">
        <v>181</v>
      </c>
      <c r="J964" t="s">
        <v>18</v>
      </c>
      <c r="K964" t="s">
        <v>19</v>
      </c>
    </row>
    <row r="965" spans="1:11">
      <c r="A965" s="1">
        <v>45853</v>
      </c>
      <c r="B965" t="s">
        <v>63</v>
      </c>
      <c r="C965" t="s">
        <v>64</v>
      </c>
      <c r="D965" t="s">
        <v>68</v>
      </c>
      <c r="E965" t="s">
        <v>184</v>
      </c>
      <c r="F965" t="s">
        <v>185</v>
      </c>
      <c r="G965" s="2">
        <v>267.98</v>
      </c>
      <c r="H965" t="s">
        <v>27</v>
      </c>
      <c r="I965" t="s">
        <v>181</v>
      </c>
      <c r="J965" t="s">
        <v>18</v>
      </c>
      <c r="K965" t="s">
        <v>19</v>
      </c>
    </row>
    <row r="966" spans="1:11">
      <c r="A966" s="1">
        <v>45853</v>
      </c>
      <c r="B966" t="s">
        <v>63</v>
      </c>
      <c r="C966" t="s">
        <v>64</v>
      </c>
      <c r="D966" t="s">
        <v>68</v>
      </c>
      <c r="E966" t="s">
        <v>186</v>
      </c>
      <c r="F966" t="s">
        <v>26</v>
      </c>
      <c r="G966" s="2">
        <v>141.93</v>
      </c>
      <c r="H966" t="s">
        <v>27</v>
      </c>
      <c r="I966" t="s">
        <v>181</v>
      </c>
      <c r="J966" t="s">
        <v>18</v>
      </c>
      <c r="K966" t="s">
        <v>19</v>
      </c>
    </row>
    <row r="967" spans="1:11">
      <c r="A967" s="1">
        <v>45853</v>
      </c>
      <c r="B967" t="s">
        <v>63</v>
      </c>
      <c r="C967" t="s">
        <v>64</v>
      </c>
      <c r="D967" t="s">
        <v>71</v>
      </c>
      <c r="E967" t="s">
        <v>180</v>
      </c>
      <c r="F967" t="s">
        <v>26</v>
      </c>
      <c r="G967" s="2">
        <v>100</v>
      </c>
      <c r="H967" t="s">
        <v>27</v>
      </c>
      <c r="I967" t="s">
        <v>181</v>
      </c>
      <c r="J967" t="s">
        <v>18</v>
      </c>
      <c r="K967" t="s">
        <v>19</v>
      </c>
    </row>
    <row r="968" spans="1:11">
      <c r="A968" s="1">
        <v>45853</v>
      </c>
      <c r="B968" t="s">
        <v>63</v>
      </c>
      <c r="C968" t="s">
        <v>64</v>
      </c>
      <c r="D968" t="s">
        <v>71</v>
      </c>
      <c r="E968" t="s">
        <v>182</v>
      </c>
      <c r="F968" t="s">
        <v>26</v>
      </c>
      <c r="G968" s="2">
        <v>55.9</v>
      </c>
      <c r="H968" t="s">
        <v>27</v>
      </c>
      <c r="I968" t="s">
        <v>181</v>
      </c>
      <c r="J968" t="s">
        <v>18</v>
      </c>
      <c r="K968" t="s">
        <v>19</v>
      </c>
    </row>
    <row r="969" spans="1:11">
      <c r="A969" s="1">
        <v>45853</v>
      </c>
      <c r="B969" t="s">
        <v>63</v>
      </c>
      <c r="C969" t="s">
        <v>64</v>
      </c>
      <c r="D969" t="s">
        <v>71</v>
      </c>
      <c r="E969" t="s">
        <v>183</v>
      </c>
      <c r="F969" t="s">
        <v>26</v>
      </c>
      <c r="G969" s="2">
        <v>102.23</v>
      </c>
      <c r="H969" t="s">
        <v>27</v>
      </c>
      <c r="I969" t="s">
        <v>181</v>
      </c>
      <c r="J969" t="s">
        <v>18</v>
      </c>
      <c r="K969" t="s">
        <v>19</v>
      </c>
    </row>
    <row r="970" spans="1:11">
      <c r="A970" s="1">
        <v>45853</v>
      </c>
      <c r="B970" t="s">
        <v>63</v>
      </c>
      <c r="C970" t="s">
        <v>64</v>
      </c>
      <c r="D970" t="s">
        <v>71</v>
      </c>
      <c r="E970" t="s">
        <v>25</v>
      </c>
      <c r="F970" t="s">
        <v>26</v>
      </c>
      <c r="G970" s="2">
        <v>134.78</v>
      </c>
      <c r="H970" t="s">
        <v>27</v>
      </c>
      <c r="I970" t="s">
        <v>181</v>
      </c>
      <c r="J970" t="s">
        <v>18</v>
      </c>
      <c r="K970" t="s">
        <v>19</v>
      </c>
    </row>
    <row r="971" spans="1:11">
      <c r="A971" s="1">
        <v>45853</v>
      </c>
      <c r="B971" t="s">
        <v>63</v>
      </c>
      <c r="C971" t="s">
        <v>64</v>
      </c>
      <c r="D971" t="s">
        <v>71</v>
      </c>
      <c r="E971" t="s">
        <v>184</v>
      </c>
      <c r="F971" t="s">
        <v>185</v>
      </c>
      <c r="G971" s="2">
        <v>289.37</v>
      </c>
      <c r="H971" t="s">
        <v>27</v>
      </c>
      <c r="I971" t="s">
        <v>181</v>
      </c>
      <c r="J971" t="s">
        <v>18</v>
      </c>
      <c r="K971" t="s">
        <v>19</v>
      </c>
    </row>
    <row r="972" spans="1:11">
      <c r="A972" s="1">
        <v>45853</v>
      </c>
      <c r="B972" t="s">
        <v>63</v>
      </c>
      <c r="C972" t="s">
        <v>64</v>
      </c>
      <c r="D972" t="s">
        <v>71</v>
      </c>
      <c r="E972" t="s">
        <v>186</v>
      </c>
      <c r="F972" t="s">
        <v>26</v>
      </c>
      <c r="G972" s="2">
        <v>127.86</v>
      </c>
      <c r="H972" t="s">
        <v>27</v>
      </c>
      <c r="I972" t="s">
        <v>181</v>
      </c>
      <c r="J972" t="s">
        <v>18</v>
      </c>
      <c r="K972" t="s">
        <v>19</v>
      </c>
    </row>
    <row r="973" spans="1:11">
      <c r="A973" s="1">
        <v>45853</v>
      </c>
      <c r="B973" t="s">
        <v>63</v>
      </c>
      <c r="C973" t="s">
        <v>64</v>
      </c>
      <c r="D973" t="s">
        <v>72</v>
      </c>
      <c r="E973" t="s">
        <v>180</v>
      </c>
      <c r="F973" t="s">
        <v>26</v>
      </c>
      <c r="G973" s="2">
        <v>100</v>
      </c>
      <c r="H973" t="s">
        <v>27</v>
      </c>
      <c r="I973" t="s">
        <v>181</v>
      </c>
      <c r="J973" t="s">
        <v>18</v>
      </c>
      <c r="K973" t="s">
        <v>19</v>
      </c>
    </row>
    <row r="974" spans="1:11">
      <c r="A974" s="1">
        <v>45853</v>
      </c>
      <c r="B974" t="s">
        <v>63</v>
      </c>
      <c r="C974" t="s">
        <v>64</v>
      </c>
      <c r="D974" t="s">
        <v>72</v>
      </c>
      <c r="E974" t="s">
        <v>182</v>
      </c>
      <c r="F974" t="s">
        <v>26</v>
      </c>
      <c r="G974" s="2">
        <v>55.97</v>
      </c>
      <c r="H974" t="s">
        <v>27</v>
      </c>
      <c r="I974" t="s">
        <v>181</v>
      </c>
      <c r="J974" t="s">
        <v>18</v>
      </c>
      <c r="K974" t="s">
        <v>19</v>
      </c>
    </row>
    <row r="975" spans="1:11">
      <c r="A975" s="1">
        <v>45853</v>
      </c>
      <c r="B975" t="s">
        <v>63</v>
      </c>
      <c r="C975" t="s">
        <v>64</v>
      </c>
      <c r="D975" t="s">
        <v>72</v>
      </c>
      <c r="E975" t="s">
        <v>183</v>
      </c>
      <c r="F975" t="s">
        <v>26</v>
      </c>
      <c r="G975" s="2">
        <v>119.46</v>
      </c>
      <c r="H975" t="s">
        <v>27</v>
      </c>
      <c r="I975" t="s">
        <v>181</v>
      </c>
      <c r="J975" t="s">
        <v>18</v>
      </c>
      <c r="K975" t="s">
        <v>19</v>
      </c>
    </row>
    <row r="976" spans="1:11">
      <c r="A976" s="1">
        <v>45853</v>
      </c>
      <c r="B976" t="s">
        <v>63</v>
      </c>
      <c r="C976" t="s">
        <v>64</v>
      </c>
      <c r="D976" t="s">
        <v>72</v>
      </c>
      <c r="E976" t="s">
        <v>25</v>
      </c>
      <c r="F976" t="s">
        <v>26</v>
      </c>
      <c r="G976" s="2">
        <v>130.32</v>
      </c>
      <c r="H976" t="s">
        <v>27</v>
      </c>
      <c r="I976" t="s">
        <v>181</v>
      </c>
      <c r="J976" t="s">
        <v>18</v>
      </c>
      <c r="K976" t="s">
        <v>19</v>
      </c>
    </row>
    <row r="977" spans="1:11">
      <c r="A977" s="1">
        <v>45853</v>
      </c>
      <c r="B977" t="s">
        <v>63</v>
      </c>
      <c r="C977" t="s">
        <v>64</v>
      </c>
      <c r="D977" t="s">
        <v>72</v>
      </c>
      <c r="E977" t="s">
        <v>184</v>
      </c>
      <c r="F977" t="s">
        <v>185</v>
      </c>
      <c r="G977" s="2">
        <v>284.14</v>
      </c>
      <c r="H977" t="s">
        <v>27</v>
      </c>
      <c r="I977" t="s">
        <v>181</v>
      </c>
      <c r="J977" t="s">
        <v>18</v>
      </c>
      <c r="K977" t="s">
        <v>19</v>
      </c>
    </row>
    <row r="978" spans="1:11">
      <c r="A978" s="1">
        <v>45853</v>
      </c>
      <c r="B978" t="s">
        <v>63</v>
      </c>
      <c r="C978" t="s">
        <v>64</v>
      </c>
      <c r="D978" t="s">
        <v>72</v>
      </c>
      <c r="E978" t="s">
        <v>186</v>
      </c>
      <c r="F978" t="s">
        <v>26</v>
      </c>
      <c r="G978" s="2">
        <v>130.95</v>
      </c>
      <c r="H978" t="s">
        <v>27</v>
      </c>
      <c r="I978" t="s">
        <v>181</v>
      </c>
      <c r="J978" t="s">
        <v>18</v>
      </c>
      <c r="K978" t="s">
        <v>19</v>
      </c>
    </row>
    <row r="979" spans="1:11">
      <c r="A979" s="1">
        <v>45853</v>
      </c>
      <c r="B979" t="s">
        <v>90</v>
      </c>
      <c r="C979" t="s">
        <v>104</v>
      </c>
      <c r="D979" t="s">
        <v>112</v>
      </c>
      <c r="E979" t="s">
        <v>180</v>
      </c>
      <c r="F979" t="s">
        <v>26</v>
      </c>
      <c r="G979" s="2">
        <v>83.33</v>
      </c>
      <c r="H979" t="s">
        <v>27</v>
      </c>
      <c r="I979" t="s">
        <v>181</v>
      </c>
      <c r="J979" t="s">
        <v>18</v>
      </c>
      <c r="K979" t="s">
        <v>19</v>
      </c>
    </row>
    <row r="980" spans="1:11">
      <c r="A980" s="1">
        <v>45853</v>
      </c>
      <c r="B980" t="s">
        <v>90</v>
      </c>
      <c r="C980" t="s">
        <v>104</v>
      </c>
      <c r="D980" t="s">
        <v>112</v>
      </c>
      <c r="E980" t="s">
        <v>182</v>
      </c>
      <c r="F980" t="s">
        <v>26</v>
      </c>
      <c r="G980" s="2">
        <v>70</v>
      </c>
      <c r="H980" t="s">
        <v>27</v>
      </c>
      <c r="I980" t="s">
        <v>181</v>
      </c>
      <c r="J980" t="s">
        <v>18</v>
      </c>
      <c r="K980" t="s">
        <v>19</v>
      </c>
    </row>
    <row r="981" spans="1:11">
      <c r="A981" s="1">
        <v>45853</v>
      </c>
      <c r="B981" t="s">
        <v>90</v>
      </c>
      <c r="C981" t="s">
        <v>104</v>
      </c>
      <c r="D981" t="s">
        <v>112</v>
      </c>
      <c r="E981" t="s">
        <v>183</v>
      </c>
      <c r="F981" t="s">
        <v>26</v>
      </c>
      <c r="G981" s="2">
        <v>180</v>
      </c>
      <c r="H981" t="s">
        <v>27</v>
      </c>
      <c r="I981" t="s">
        <v>181</v>
      </c>
      <c r="J981" t="s">
        <v>18</v>
      </c>
      <c r="K981" t="s">
        <v>19</v>
      </c>
    </row>
    <row r="982" spans="1:11">
      <c r="A982" s="1">
        <v>45853</v>
      </c>
      <c r="B982" t="s">
        <v>90</v>
      </c>
      <c r="C982" t="s">
        <v>104</v>
      </c>
      <c r="D982" t="s">
        <v>112</v>
      </c>
      <c r="E982" t="s">
        <v>25</v>
      </c>
      <c r="F982" t="s">
        <v>26</v>
      </c>
      <c r="G982" s="2">
        <v>160</v>
      </c>
      <c r="H982" t="s">
        <v>27</v>
      </c>
      <c r="I982" t="s">
        <v>181</v>
      </c>
      <c r="J982" t="s">
        <v>18</v>
      </c>
      <c r="K982" t="s">
        <v>19</v>
      </c>
    </row>
    <row r="983" spans="1:11">
      <c r="A983" s="1">
        <v>45853</v>
      </c>
      <c r="B983" t="s">
        <v>90</v>
      </c>
      <c r="C983" t="s">
        <v>104</v>
      </c>
      <c r="D983" t="s">
        <v>112</v>
      </c>
      <c r="E983" t="s">
        <v>184</v>
      </c>
      <c r="F983" t="s">
        <v>185</v>
      </c>
      <c r="G983" s="2">
        <v>250</v>
      </c>
      <c r="H983" t="s">
        <v>27</v>
      </c>
      <c r="I983" t="s">
        <v>181</v>
      </c>
      <c r="J983" t="s">
        <v>18</v>
      </c>
      <c r="K983" t="s">
        <v>19</v>
      </c>
    </row>
    <row r="984" spans="1:11">
      <c r="A984" s="1">
        <v>45853</v>
      </c>
      <c r="B984" t="s">
        <v>90</v>
      </c>
      <c r="C984" t="s">
        <v>104</v>
      </c>
      <c r="D984" t="s">
        <v>112</v>
      </c>
      <c r="E984" t="s">
        <v>186</v>
      </c>
      <c r="F984" t="s">
        <v>26</v>
      </c>
      <c r="G984" s="2">
        <v>136.67</v>
      </c>
      <c r="H984" t="s">
        <v>27</v>
      </c>
      <c r="I984" t="s">
        <v>181</v>
      </c>
      <c r="J984" t="s">
        <v>18</v>
      </c>
      <c r="K984" t="s">
        <v>19</v>
      </c>
    </row>
    <row r="985" spans="1:11">
      <c r="A985" s="1">
        <v>45853</v>
      </c>
      <c r="B985" t="s">
        <v>90</v>
      </c>
      <c r="C985" t="s">
        <v>104</v>
      </c>
      <c r="D985" t="s">
        <v>113</v>
      </c>
      <c r="E985" t="s">
        <v>180</v>
      </c>
      <c r="F985" t="s">
        <v>26</v>
      </c>
      <c r="G985" s="2">
        <v>88</v>
      </c>
      <c r="H985" t="s">
        <v>27</v>
      </c>
      <c r="I985" t="s">
        <v>181</v>
      </c>
      <c r="J985" t="s">
        <v>18</v>
      </c>
      <c r="K985" t="s">
        <v>19</v>
      </c>
    </row>
    <row r="986" spans="1:11">
      <c r="A986" s="1">
        <v>45853</v>
      </c>
      <c r="B986" t="s">
        <v>90</v>
      </c>
      <c r="C986" t="s">
        <v>104</v>
      </c>
      <c r="D986" t="s">
        <v>113</v>
      </c>
      <c r="E986" t="s">
        <v>182</v>
      </c>
      <c r="F986" t="s">
        <v>26</v>
      </c>
      <c r="G986" s="2">
        <v>62.5</v>
      </c>
      <c r="H986" t="s">
        <v>27</v>
      </c>
      <c r="I986" t="s">
        <v>181</v>
      </c>
      <c r="J986" t="s">
        <v>18</v>
      </c>
      <c r="K986" t="s">
        <v>19</v>
      </c>
    </row>
    <row r="987" spans="1:11">
      <c r="A987" s="1">
        <v>45853</v>
      </c>
      <c r="B987" t="s">
        <v>90</v>
      </c>
      <c r="C987" t="s">
        <v>104</v>
      </c>
      <c r="D987" t="s">
        <v>113</v>
      </c>
      <c r="E987" t="s">
        <v>183</v>
      </c>
      <c r="F987" t="s">
        <v>26</v>
      </c>
      <c r="G987" s="2">
        <v>180</v>
      </c>
      <c r="H987" t="s">
        <v>27</v>
      </c>
      <c r="I987" t="s">
        <v>181</v>
      </c>
      <c r="J987" t="s">
        <v>18</v>
      </c>
      <c r="K987" t="s">
        <v>19</v>
      </c>
    </row>
    <row r="988" spans="1:11">
      <c r="A988" s="1">
        <v>45853</v>
      </c>
      <c r="B988" t="s">
        <v>90</v>
      </c>
      <c r="C988" t="s">
        <v>104</v>
      </c>
      <c r="D988" t="s">
        <v>113</v>
      </c>
      <c r="E988" t="s">
        <v>25</v>
      </c>
      <c r="F988" t="s">
        <v>26</v>
      </c>
      <c r="G988" s="2">
        <v>162</v>
      </c>
      <c r="H988" t="s">
        <v>27</v>
      </c>
      <c r="I988" t="s">
        <v>181</v>
      </c>
      <c r="J988" t="s">
        <v>18</v>
      </c>
      <c r="K988" t="s">
        <v>19</v>
      </c>
    </row>
    <row r="989" spans="1:11">
      <c r="A989" s="1">
        <v>45853</v>
      </c>
      <c r="B989" t="s">
        <v>90</v>
      </c>
      <c r="C989" t="s">
        <v>104</v>
      </c>
      <c r="D989" t="s">
        <v>113</v>
      </c>
      <c r="E989" t="s">
        <v>184</v>
      </c>
      <c r="F989" t="s">
        <v>185</v>
      </c>
      <c r="G989" s="2">
        <v>264</v>
      </c>
      <c r="H989" t="s">
        <v>27</v>
      </c>
      <c r="I989" t="s">
        <v>181</v>
      </c>
      <c r="J989" t="s">
        <v>18</v>
      </c>
      <c r="K989" t="s">
        <v>19</v>
      </c>
    </row>
    <row r="990" spans="1:11">
      <c r="A990" s="1">
        <v>45853</v>
      </c>
      <c r="B990" t="s">
        <v>90</v>
      </c>
      <c r="C990" t="s">
        <v>104</v>
      </c>
      <c r="D990" t="s">
        <v>113</v>
      </c>
      <c r="E990" t="s">
        <v>186</v>
      </c>
      <c r="F990" t="s">
        <v>26</v>
      </c>
      <c r="G990" s="2">
        <v>157.5</v>
      </c>
      <c r="H990" t="s">
        <v>27</v>
      </c>
      <c r="I990" t="s">
        <v>181</v>
      </c>
      <c r="J990" t="s">
        <v>18</v>
      </c>
      <c r="K990" t="s">
        <v>19</v>
      </c>
    </row>
    <row r="991" spans="1:11">
      <c r="A991" s="1">
        <v>45853</v>
      </c>
      <c r="B991" t="s">
        <v>90</v>
      </c>
      <c r="C991" t="s">
        <v>104</v>
      </c>
      <c r="D991" t="s">
        <v>114</v>
      </c>
      <c r="E991" t="s">
        <v>180</v>
      </c>
      <c r="F991" t="s">
        <v>26</v>
      </c>
      <c r="G991" s="2">
        <v>90</v>
      </c>
      <c r="H991" t="s">
        <v>27</v>
      </c>
      <c r="I991" t="s">
        <v>181</v>
      </c>
      <c r="J991" t="s">
        <v>18</v>
      </c>
      <c r="K991" t="s">
        <v>19</v>
      </c>
    </row>
    <row r="992" spans="1:11">
      <c r="A992" s="1">
        <v>45853</v>
      </c>
      <c r="B992" t="s">
        <v>90</v>
      </c>
      <c r="C992" t="s">
        <v>104</v>
      </c>
      <c r="D992" t="s">
        <v>114</v>
      </c>
      <c r="E992" t="s">
        <v>182</v>
      </c>
      <c r="F992" t="s">
        <v>26</v>
      </c>
      <c r="G992" s="2">
        <v>55</v>
      </c>
      <c r="H992" t="s">
        <v>27</v>
      </c>
      <c r="I992" t="s">
        <v>181</v>
      </c>
      <c r="J992" t="s">
        <v>18</v>
      </c>
      <c r="K992" t="s">
        <v>19</v>
      </c>
    </row>
    <row r="993" spans="1:11">
      <c r="A993" s="1">
        <v>45853</v>
      </c>
      <c r="B993" t="s">
        <v>90</v>
      </c>
      <c r="C993" t="s">
        <v>104</v>
      </c>
      <c r="D993" t="s">
        <v>114</v>
      </c>
      <c r="E993" t="s">
        <v>183</v>
      </c>
      <c r="F993" t="s">
        <v>26</v>
      </c>
      <c r="G993" s="2">
        <v>130</v>
      </c>
      <c r="H993" t="s">
        <v>27</v>
      </c>
      <c r="I993" t="s">
        <v>181</v>
      </c>
      <c r="J993" t="s">
        <v>18</v>
      </c>
      <c r="K993" t="s">
        <v>19</v>
      </c>
    </row>
    <row r="994" spans="1:11">
      <c r="A994" s="1">
        <v>45853</v>
      </c>
      <c r="B994" t="s">
        <v>90</v>
      </c>
      <c r="C994" t="s">
        <v>104</v>
      </c>
      <c r="D994" t="s">
        <v>114</v>
      </c>
      <c r="E994" t="s">
        <v>25</v>
      </c>
      <c r="F994" t="s">
        <v>26</v>
      </c>
      <c r="G994" s="2">
        <v>177.5</v>
      </c>
      <c r="H994" t="s">
        <v>27</v>
      </c>
      <c r="I994" t="s">
        <v>181</v>
      </c>
      <c r="J994" t="s">
        <v>18</v>
      </c>
      <c r="K994" t="s">
        <v>19</v>
      </c>
    </row>
    <row r="995" spans="1:11">
      <c r="A995" s="1">
        <v>45853</v>
      </c>
      <c r="B995" t="s">
        <v>90</v>
      </c>
      <c r="C995" t="s">
        <v>104</v>
      </c>
      <c r="D995" t="s">
        <v>114</v>
      </c>
      <c r="E995" t="s">
        <v>184</v>
      </c>
      <c r="F995" t="s">
        <v>185</v>
      </c>
      <c r="G995" s="2">
        <v>305</v>
      </c>
      <c r="H995" t="s">
        <v>27</v>
      </c>
      <c r="I995" t="s">
        <v>181</v>
      </c>
      <c r="J995" t="s">
        <v>18</v>
      </c>
      <c r="K995" t="s">
        <v>19</v>
      </c>
    </row>
    <row r="996" spans="1:11">
      <c r="A996" s="1">
        <v>45853</v>
      </c>
      <c r="B996" t="s">
        <v>90</v>
      </c>
      <c r="C996" t="s">
        <v>104</v>
      </c>
      <c r="D996" t="s">
        <v>114</v>
      </c>
      <c r="E996" t="s">
        <v>186</v>
      </c>
      <c r="F996" t="s">
        <v>26</v>
      </c>
      <c r="G996" s="2">
        <v>142.5</v>
      </c>
      <c r="H996" t="s">
        <v>27</v>
      </c>
      <c r="I996" t="s">
        <v>181</v>
      </c>
      <c r="J996" t="s">
        <v>18</v>
      </c>
      <c r="K996" t="s">
        <v>19</v>
      </c>
    </row>
    <row r="997" spans="1:11">
      <c r="A997" s="1">
        <v>45853</v>
      </c>
      <c r="B997" t="s">
        <v>90</v>
      </c>
      <c r="C997" t="s">
        <v>104</v>
      </c>
      <c r="D997" t="s">
        <v>118</v>
      </c>
      <c r="E997" t="s">
        <v>180</v>
      </c>
      <c r="F997" t="s">
        <v>26</v>
      </c>
      <c r="G997" s="2">
        <v>86</v>
      </c>
      <c r="H997" t="s">
        <v>27</v>
      </c>
      <c r="I997" t="s">
        <v>181</v>
      </c>
      <c r="J997" t="s">
        <v>18</v>
      </c>
      <c r="K997" t="s">
        <v>19</v>
      </c>
    </row>
    <row r="998" spans="1:11">
      <c r="A998" s="1">
        <v>45853</v>
      </c>
      <c r="B998" t="s">
        <v>90</v>
      </c>
      <c r="C998" t="s">
        <v>104</v>
      </c>
      <c r="D998" t="s">
        <v>118</v>
      </c>
      <c r="E998" t="s">
        <v>182</v>
      </c>
      <c r="F998" t="s">
        <v>26</v>
      </c>
      <c r="G998" s="2">
        <v>75</v>
      </c>
      <c r="H998" t="s">
        <v>27</v>
      </c>
      <c r="I998" t="s">
        <v>181</v>
      </c>
      <c r="J998" t="s">
        <v>18</v>
      </c>
      <c r="K998" t="s">
        <v>19</v>
      </c>
    </row>
    <row r="999" spans="1:11">
      <c r="A999" s="1">
        <v>45853</v>
      </c>
      <c r="B999" t="s">
        <v>90</v>
      </c>
      <c r="C999" t="s">
        <v>104</v>
      </c>
      <c r="D999" t="s">
        <v>118</v>
      </c>
      <c r="E999" t="s">
        <v>183</v>
      </c>
      <c r="F999" t="s">
        <v>26</v>
      </c>
      <c r="G999" s="2">
        <v>128</v>
      </c>
      <c r="H999" t="s">
        <v>27</v>
      </c>
      <c r="I999" t="s">
        <v>181</v>
      </c>
      <c r="J999" t="s">
        <v>18</v>
      </c>
      <c r="K999" t="s">
        <v>19</v>
      </c>
    </row>
    <row r="1000" spans="1:11">
      <c r="A1000" s="1">
        <v>45853</v>
      </c>
      <c r="B1000" t="s">
        <v>90</v>
      </c>
      <c r="C1000" t="s">
        <v>104</v>
      </c>
      <c r="D1000" t="s">
        <v>118</v>
      </c>
      <c r="E1000" t="s">
        <v>25</v>
      </c>
      <c r="F1000" t="s">
        <v>26</v>
      </c>
      <c r="G1000" s="2">
        <v>174</v>
      </c>
      <c r="H1000" t="s">
        <v>27</v>
      </c>
      <c r="I1000" t="s">
        <v>181</v>
      </c>
      <c r="J1000" t="s">
        <v>18</v>
      </c>
      <c r="K1000" t="s">
        <v>19</v>
      </c>
    </row>
    <row r="1001" spans="1:11">
      <c r="A1001" s="1">
        <v>45853</v>
      </c>
      <c r="B1001" t="s">
        <v>90</v>
      </c>
      <c r="C1001" t="s">
        <v>104</v>
      </c>
      <c r="D1001" t="s">
        <v>118</v>
      </c>
      <c r="E1001" t="s">
        <v>184</v>
      </c>
      <c r="F1001" t="s">
        <v>185</v>
      </c>
      <c r="G1001" s="2">
        <v>270</v>
      </c>
      <c r="H1001" t="s">
        <v>27</v>
      </c>
      <c r="I1001" t="s">
        <v>181</v>
      </c>
      <c r="J1001" t="s">
        <v>18</v>
      </c>
      <c r="K1001" t="s">
        <v>19</v>
      </c>
    </row>
    <row r="1002" spans="1:11">
      <c r="A1002" s="1">
        <v>45853</v>
      </c>
      <c r="B1002" t="s">
        <v>90</v>
      </c>
      <c r="C1002" t="s">
        <v>104</v>
      </c>
      <c r="D1002" t="s">
        <v>119</v>
      </c>
      <c r="E1002" t="s">
        <v>180</v>
      </c>
      <c r="F1002" t="s">
        <v>26</v>
      </c>
      <c r="G1002" s="2">
        <v>86.25</v>
      </c>
      <c r="H1002" t="s">
        <v>27</v>
      </c>
      <c r="I1002" t="s">
        <v>181</v>
      </c>
      <c r="J1002" t="s">
        <v>18</v>
      </c>
      <c r="K1002" t="s">
        <v>19</v>
      </c>
    </row>
    <row r="1003" spans="1:11">
      <c r="A1003" s="1">
        <v>45853</v>
      </c>
      <c r="B1003" t="s">
        <v>90</v>
      </c>
      <c r="C1003" t="s">
        <v>104</v>
      </c>
      <c r="D1003" t="s">
        <v>119</v>
      </c>
      <c r="E1003" t="s">
        <v>182</v>
      </c>
      <c r="F1003" t="s">
        <v>26</v>
      </c>
      <c r="G1003" s="2">
        <v>46.67</v>
      </c>
      <c r="H1003" t="s">
        <v>27</v>
      </c>
      <c r="I1003" t="s">
        <v>181</v>
      </c>
      <c r="J1003" t="s">
        <v>18</v>
      </c>
      <c r="K1003" t="s">
        <v>19</v>
      </c>
    </row>
    <row r="1004" spans="1:11">
      <c r="A1004" s="1">
        <v>45853</v>
      </c>
      <c r="B1004" t="s">
        <v>90</v>
      </c>
      <c r="C1004" t="s">
        <v>104</v>
      </c>
      <c r="D1004" t="s">
        <v>119</v>
      </c>
      <c r="E1004" t="s">
        <v>183</v>
      </c>
      <c r="F1004" t="s">
        <v>26</v>
      </c>
      <c r="G1004" s="2">
        <v>152.5</v>
      </c>
      <c r="H1004" t="s">
        <v>27</v>
      </c>
      <c r="I1004" t="s">
        <v>181</v>
      </c>
      <c r="J1004" t="s">
        <v>18</v>
      </c>
      <c r="K1004" t="s">
        <v>19</v>
      </c>
    </row>
    <row r="1005" spans="1:11">
      <c r="A1005" s="1">
        <v>45853</v>
      </c>
      <c r="B1005" t="s">
        <v>90</v>
      </c>
      <c r="C1005" t="s">
        <v>104</v>
      </c>
      <c r="D1005" t="s">
        <v>119</v>
      </c>
      <c r="E1005" t="s">
        <v>25</v>
      </c>
      <c r="F1005" t="s">
        <v>26</v>
      </c>
      <c r="G1005" s="2">
        <v>170</v>
      </c>
      <c r="H1005" t="s">
        <v>27</v>
      </c>
      <c r="I1005" t="s">
        <v>181</v>
      </c>
      <c r="J1005" t="s">
        <v>18</v>
      </c>
      <c r="K1005" t="s">
        <v>19</v>
      </c>
    </row>
    <row r="1006" spans="1:11">
      <c r="A1006" s="1">
        <v>45853</v>
      </c>
      <c r="B1006" t="s">
        <v>90</v>
      </c>
      <c r="C1006" t="s">
        <v>104</v>
      </c>
      <c r="D1006" t="s">
        <v>119</v>
      </c>
      <c r="E1006" t="s">
        <v>184</v>
      </c>
      <c r="F1006" t="s">
        <v>185</v>
      </c>
      <c r="G1006" s="2">
        <v>295</v>
      </c>
      <c r="H1006" t="s">
        <v>27</v>
      </c>
      <c r="I1006" t="s">
        <v>181</v>
      </c>
      <c r="J1006" t="s">
        <v>18</v>
      </c>
      <c r="K1006" t="s">
        <v>19</v>
      </c>
    </row>
    <row r="1007" spans="1:11">
      <c r="A1007" s="1">
        <v>45853</v>
      </c>
      <c r="B1007" t="s">
        <v>90</v>
      </c>
      <c r="C1007" t="s">
        <v>104</v>
      </c>
      <c r="D1007" t="s">
        <v>119</v>
      </c>
      <c r="E1007" t="s">
        <v>186</v>
      </c>
      <c r="F1007" t="s">
        <v>26</v>
      </c>
      <c r="G1007" s="2">
        <v>142.5</v>
      </c>
      <c r="H1007" t="s">
        <v>27</v>
      </c>
      <c r="I1007" t="s">
        <v>181</v>
      </c>
      <c r="J1007" t="s">
        <v>18</v>
      </c>
      <c r="K1007" t="s">
        <v>19</v>
      </c>
    </row>
    <row r="1008" spans="1:11">
      <c r="A1008" s="1">
        <v>45853</v>
      </c>
      <c r="B1008" t="s">
        <v>90</v>
      </c>
      <c r="C1008" t="s">
        <v>104</v>
      </c>
      <c r="D1008" t="s">
        <v>120</v>
      </c>
      <c r="E1008" t="s">
        <v>180</v>
      </c>
      <c r="F1008" t="s">
        <v>26</v>
      </c>
      <c r="G1008" s="2">
        <v>90</v>
      </c>
      <c r="H1008" t="s">
        <v>27</v>
      </c>
      <c r="I1008" t="s">
        <v>181</v>
      </c>
      <c r="J1008" t="s">
        <v>18</v>
      </c>
      <c r="K1008" t="s">
        <v>19</v>
      </c>
    </row>
    <row r="1009" spans="1:11">
      <c r="A1009" s="1">
        <v>45853</v>
      </c>
      <c r="B1009" t="s">
        <v>90</v>
      </c>
      <c r="C1009" t="s">
        <v>104</v>
      </c>
      <c r="D1009" t="s">
        <v>120</v>
      </c>
      <c r="E1009" t="s">
        <v>182</v>
      </c>
      <c r="F1009" t="s">
        <v>26</v>
      </c>
      <c r="G1009" s="2">
        <v>50</v>
      </c>
      <c r="H1009" t="s">
        <v>27</v>
      </c>
      <c r="I1009" t="s">
        <v>181</v>
      </c>
      <c r="J1009" t="s">
        <v>18</v>
      </c>
      <c r="K1009" t="s">
        <v>19</v>
      </c>
    </row>
    <row r="1010" spans="1:11">
      <c r="A1010" s="1">
        <v>45853</v>
      </c>
      <c r="B1010" t="s">
        <v>90</v>
      </c>
      <c r="C1010" t="s">
        <v>104</v>
      </c>
      <c r="D1010" t="s">
        <v>120</v>
      </c>
      <c r="E1010" t="s">
        <v>183</v>
      </c>
      <c r="F1010" t="s">
        <v>26</v>
      </c>
      <c r="G1010" s="2">
        <v>120</v>
      </c>
      <c r="H1010" t="s">
        <v>27</v>
      </c>
      <c r="I1010" t="s">
        <v>181</v>
      </c>
      <c r="J1010" t="s">
        <v>18</v>
      </c>
      <c r="K1010" t="s">
        <v>19</v>
      </c>
    </row>
    <row r="1011" spans="1:11">
      <c r="A1011" s="1">
        <v>45853</v>
      </c>
      <c r="B1011" t="s">
        <v>90</v>
      </c>
      <c r="C1011" t="s">
        <v>104</v>
      </c>
      <c r="D1011" t="s">
        <v>120</v>
      </c>
      <c r="E1011" t="s">
        <v>25</v>
      </c>
      <c r="F1011" t="s">
        <v>26</v>
      </c>
      <c r="G1011" s="2">
        <v>165</v>
      </c>
      <c r="H1011" t="s">
        <v>27</v>
      </c>
      <c r="I1011" t="s">
        <v>181</v>
      </c>
      <c r="J1011" t="s">
        <v>18</v>
      </c>
      <c r="K1011" t="s">
        <v>19</v>
      </c>
    </row>
    <row r="1012" spans="1:11">
      <c r="A1012" s="1">
        <v>45853</v>
      </c>
      <c r="B1012" t="s">
        <v>90</v>
      </c>
      <c r="C1012" t="s">
        <v>104</v>
      </c>
      <c r="D1012" t="s">
        <v>120</v>
      </c>
      <c r="E1012" t="s">
        <v>184</v>
      </c>
      <c r="F1012" t="s">
        <v>185</v>
      </c>
      <c r="G1012" s="2">
        <v>250</v>
      </c>
      <c r="H1012" t="s">
        <v>27</v>
      </c>
      <c r="I1012" t="s">
        <v>181</v>
      </c>
      <c r="J1012" t="s">
        <v>18</v>
      </c>
      <c r="K1012" t="s">
        <v>19</v>
      </c>
    </row>
    <row r="1013" spans="1:11">
      <c r="A1013" s="1">
        <v>45853</v>
      </c>
      <c r="B1013" t="s">
        <v>90</v>
      </c>
      <c r="C1013" t="s">
        <v>104</v>
      </c>
      <c r="D1013" t="s">
        <v>120</v>
      </c>
      <c r="E1013" t="s">
        <v>186</v>
      </c>
      <c r="F1013" t="s">
        <v>26</v>
      </c>
      <c r="G1013" s="2">
        <v>140</v>
      </c>
      <c r="H1013" t="s">
        <v>27</v>
      </c>
      <c r="I1013" t="s">
        <v>181</v>
      </c>
      <c r="J1013" t="s">
        <v>18</v>
      </c>
      <c r="K1013" t="s">
        <v>19</v>
      </c>
    </row>
    <row r="1014" spans="1:11">
      <c r="A1014" s="1">
        <v>45884</v>
      </c>
      <c r="B1014" t="s">
        <v>63</v>
      </c>
      <c r="C1014" t="s">
        <v>64</v>
      </c>
      <c r="D1014" t="s">
        <v>71</v>
      </c>
      <c r="E1014" t="s">
        <v>180</v>
      </c>
      <c r="F1014" t="s">
        <v>26</v>
      </c>
      <c r="G1014" s="2">
        <v>100</v>
      </c>
      <c r="H1014" t="s">
        <v>27</v>
      </c>
      <c r="I1014" t="s">
        <v>181</v>
      </c>
      <c r="J1014" t="s">
        <v>18</v>
      </c>
      <c r="K1014" t="s">
        <v>19</v>
      </c>
    </row>
    <row r="1015" spans="1:11">
      <c r="A1015" s="1">
        <v>45884</v>
      </c>
      <c r="B1015" t="s">
        <v>63</v>
      </c>
      <c r="C1015" t="s">
        <v>64</v>
      </c>
      <c r="D1015" t="s">
        <v>71</v>
      </c>
      <c r="E1015" t="s">
        <v>182</v>
      </c>
      <c r="F1015" t="s">
        <v>26</v>
      </c>
      <c r="G1015" s="2">
        <v>50</v>
      </c>
      <c r="H1015" t="s">
        <v>27</v>
      </c>
      <c r="I1015" t="s">
        <v>181</v>
      </c>
      <c r="J1015" t="s">
        <v>18</v>
      </c>
      <c r="K1015" t="s">
        <v>19</v>
      </c>
    </row>
    <row r="1016" spans="1:11">
      <c r="A1016" s="1">
        <v>45884</v>
      </c>
      <c r="B1016" t="s">
        <v>63</v>
      </c>
      <c r="C1016" t="s">
        <v>64</v>
      </c>
      <c r="D1016" t="s">
        <v>71</v>
      </c>
      <c r="E1016" t="s">
        <v>183</v>
      </c>
      <c r="F1016" t="s">
        <v>26</v>
      </c>
      <c r="G1016" s="2">
        <v>104</v>
      </c>
      <c r="H1016" t="s">
        <v>27</v>
      </c>
      <c r="I1016" t="s">
        <v>181</v>
      </c>
      <c r="J1016" t="s">
        <v>18</v>
      </c>
      <c r="K1016" t="s">
        <v>19</v>
      </c>
    </row>
    <row r="1017" spans="1:11">
      <c r="A1017" s="1">
        <v>45884</v>
      </c>
      <c r="B1017" t="s">
        <v>63</v>
      </c>
      <c r="C1017" t="s">
        <v>64</v>
      </c>
      <c r="D1017" t="s">
        <v>71</v>
      </c>
      <c r="E1017" t="s">
        <v>25</v>
      </c>
      <c r="F1017" t="s">
        <v>26</v>
      </c>
      <c r="G1017" s="2">
        <v>123</v>
      </c>
      <c r="H1017" t="s">
        <v>27</v>
      </c>
      <c r="I1017" t="s">
        <v>181</v>
      </c>
      <c r="J1017" t="s">
        <v>18</v>
      </c>
      <c r="K1017" t="s">
        <v>19</v>
      </c>
    </row>
    <row r="1018" spans="1:11">
      <c r="A1018" s="1">
        <v>45884</v>
      </c>
      <c r="B1018" t="s">
        <v>63</v>
      </c>
      <c r="C1018" t="s">
        <v>64</v>
      </c>
      <c r="D1018" t="s">
        <v>71</v>
      </c>
      <c r="E1018" t="s">
        <v>184</v>
      </c>
      <c r="F1018" t="s">
        <v>185</v>
      </c>
      <c r="G1018" s="2">
        <v>264.44</v>
      </c>
      <c r="H1018" t="s">
        <v>27</v>
      </c>
      <c r="I1018" t="s">
        <v>181</v>
      </c>
      <c r="J1018" t="s">
        <v>18</v>
      </c>
      <c r="K1018" t="s">
        <v>19</v>
      </c>
    </row>
    <row r="1019" spans="1:11">
      <c r="A1019" s="1">
        <v>45884</v>
      </c>
      <c r="B1019" t="s">
        <v>63</v>
      </c>
      <c r="C1019" t="s">
        <v>64</v>
      </c>
      <c r="D1019" t="s">
        <v>71</v>
      </c>
      <c r="E1019" t="s">
        <v>186</v>
      </c>
      <c r="F1019" t="s">
        <v>26</v>
      </c>
      <c r="G1019" s="2">
        <v>115</v>
      </c>
      <c r="H1019" t="s">
        <v>27</v>
      </c>
      <c r="I1019" t="s">
        <v>181</v>
      </c>
      <c r="J1019" t="s">
        <v>18</v>
      </c>
      <c r="K1019" t="s">
        <v>19</v>
      </c>
    </row>
    <row r="1020" spans="1:11">
      <c r="A1020" s="1">
        <v>45884</v>
      </c>
      <c r="B1020" t="s">
        <v>63</v>
      </c>
      <c r="C1020" t="s">
        <v>64</v>
      </c>
      <c r="D1020" t="s">
        <v>72</v>
      </c>
      <c r="E1020" t="s">
        <v>180</v>
      </c>
      <c r="F1020" t="s">
        <v>26</v>
      </c>
      <c r="G1020" s="2">
        <v>100</v>
      </c>
      <c r="H1020" t="s">
        <v>27</v>
      </c>
      <c r="I1020" t="s">
        <v>181</v>
      </c>
      <c r="J1020" t="s">
        <v>18</v>
      </c>
      <c r="K1020" t="s">
        <v>19</v>
      </c>
    </row>
    <row r="1021" spans="1:11">
      <c r="A1021" s="1">
        <v>45884</v>
      </c>
      <c r="B1021" t="s">
        <v>63</v>
      </c>
      <c r="C1021" t="s">
        <v>64</v>
      </c>
      <c r="D1021" t="s">
        <v>72</v>
      </c>
      <c r="E1021" t="s">
        <v>182</v>
      </c>
      <c r="F1021" t="s">
        <v>26</v>
      </c>
      <c r="G1021" s="2">
        <v>50</v>
      </c>
      <c r="H1021" t="s">
        <v>27</v>
      </c>
      <c r="I1021" t="s">
        <v>181</v>
      </c>
      <c r="J1021" t="s">
        <v>18</v>
      </c>
      <c r="K1021" t="s">
        <v>19</v>
      </c>
    </row>
    <row r="1022" spans="1:11">
      <c r="A1022" s="1">
        <v>45884</v>
      </c>
      <c r="B1022" t="s">
        <v>63</v>
      </c>
      <c r="C1022" t="s">
        <v>64</v>
      </c>
      <c r="D1022" t="s">
        <v>72</v>
      </c>
      <c r="E1022" t="s">
        <v>183</v>
      </c>
      <c r="F1022" t="s">
        <v>26</v>
      </c>
      <c r="G1022" s="2">
        <v>120</v>
      </c>
      <c r="H1022" t="s">
        <v>27</v>
      </c>
      <c r="I1022" t="s">
        <v>181</v>
      </c>
      <c r="J1022" t="s">
        <v>18</v>
      </c>
      <c r="K1022" t="s">
        <v>19</v>
      </c>
    </row>
    <row r="1023" spans="1:11">
      <c r="A1023" s="1">
        <v>45884</v>
      </c>
      <c r="B1023" t="s">
        <v>63</v>
      </c>
      <c r="C1023" t="s">
        <v>64</v>
      </c>
      <c r="D1023" t="s">
        <v>72</v>
      </c>
      <c r="E1023" t="s">
        <v>25</v>
      </c>
      <c r="F1023" t="s">
        <v>26</v>
      </c>
      <c r="G1023" s="2">
        <v>130.59</v>
      </c>
      <c r="H1023" t="s">
        <v>27</v>
      </c>
      <c r="I1023" t="s">
        <v>181</v>
      </c>
      <c r="J1023" t="s">
        <v>18</v>
      </c>
      <c r="K1023" t="s">
        <v>19</v>
      </c>
    </row>
    <row r="1024" spans="1:11">
      <c r="A1024" s="1">
        <v>45884</v>
      </c>
      <c r="B1024" t="s">
        <v>63</v>
      </c>
      <c r="C1024" t="s">
        <v>64</v>
      </c>
      <c r="D1024" t="s">
        <v>72</v>
      </c>
      <c r="E1024" t="s">
        <v>184</v>
      </c>
      <c r="F1024" t="s">
        <v>185</v>
      </c>
      <c r="G1024" s="2">
        <v>284.12</v>
      </c>
      <c r="H1024" t="s">
        <v>27</v>
      </c>
      <c r="I1024" t="s">
        <v>181</v>
      </c>
      <c r="J1024" t="s">
        <v>18</v>
      </c>
      <c r="K1024" t="s">
        <v>19</v>
      </c>
    </row>
    <row r="1025" spans="1:11">
      <c r="A1025" s="1">
        <v>45884</v>
      </c>
      <c r="B1025" t="s">
        <v>63</v>
      </c>
      <c r="C1025" t="s">
        <v>64</v>
      </c>
      <c r="D1025" t="s">
        <v>72</v>
      </c>
      <c r="E1025" t="s">
        <v>186</v>
      </c>
      <c r="F1025" t="s">
        <v>26</v>
      </c>
      <c r="G1025" s="2">
        <v>130.59</v>
      </c>
      <c r="H1025" t="s">
        <v>27</v>
      </c>
      <c r="I1025" t="s">
        <v>181</v>
      </c>
      <c r="J1025" t="s">
        <v>18</v>
      </c>
      <c r="K1025" t="s">
        <v>19</v>
      </c>
    </row>
    <row r="1026" spans="1:11">
      <c r="A1026" s="1">
        <v>45884</v>
      </c>
      <c r="B1026" t="s">
        <v>90</v>
      </c>
      <c r="C1026" t="s">
        <v>104</v>
      </c>
      <c r="D1026" t="s">
        <v>108</v>
      </c>
      <c r="E1026" t="s">
        <v>180</v>
      </c>
      <c r="F1026" t="s">
        <v>26</v>
      </c>
      <c r="G1026" s="2">
        <v>83.33</v>
      </c>
      <c r="H1026" t="s">
        <v>27</v>
      </c>
      <c r="I1026" t="s">
        <v>181</v>
      </c>
      <c r="J1026" t="s">
        <v>18</v>
      </c>
      <c r="K1026" t="s">
        <v>19</v>
      </c>
    </row>
    <row r="1027" spans="1:11">
      <c r="A1027" s="1">
        <v>45884</v>
      </c>
      <c r="B1027" t="s">
        <v>90</v>
      </c>
      <c r="C1027" t="s">
        <v>104</v>
      </c>
      <c r="D1027" t="s">
        <v>108</v>
      </c>
      <c r="E1027" t="s">
        <v>183</v>
      </c>
      <c r="F1027" t="s">
        <v>26</v>
      </c>
      <c r="G1027" s="2">
        <v>103.33</v>
      </c>
      <c r="H1027" t="s">
        <v>27</v>
      </c>
      <c r="I1027" t="s">
        <v>181</v>
      </c>
      <c r="J1027" t="s">
        <v>18</v>
      </c>
      <c r="K1027" t="s">
        <v>19</v>
      </c>
    </row>
    <row r="1028" spans="1:11">
      <c r="A1028" s="1">
        <v>45884</v>
      </c>
      <c r="B1028" t="s">
        <v>90</v>
      </c>
      <c r="C1028" t="s">
        <v>104</v>
      </c>
      <c r="D1028" t="s">
        <v>108</v>
      </c>
      <c r="E1028" t="s">
        <v>25</v>
      </c>
      <c r="F1028" t="s">
        <v>26</v>
      </c>
      <c r="G1028" s="2">
        <v>173.33</v>
      </c>
      <c r="H1028" t="s">
        <v>27</v>
      </c>
      <c r="I1028" t="s">
        <v>181</v>
      </c>
      <c r="J1028" t="s">
        <v>18</v>
      </c>
      <c r="K1028" t="s">
        <v>19</v>
      </c>
    </row>
    <row r="1029" spans="1:11">
      <c r="A1029" s="1">
        <v>45884</v>
      </c>
      <c r="B1029" t="s">
        <v>90</v>
      </c>
      <c r="C1029" t="s">
        <v>104</v>
      </c>
      <c r="D1029" t="s">
        <v>108</v>
      </c>
      <c r="E1029" t="s">
        <v>184</v>
      </c>
      <c r="F1029" t="s">
        <v>185</v>
      </c>
      <c r="G1029" s="2">
        <v>266.67</v>
      </c>
      <c r="H1029" t="s">
        <v>27</v>
      </c>
      <c r="I1029" t="s">
        <v>181</v>
      </c>
      <c r="J1029" t="s">
        <v>18</v>
      </c>
      <c r="K1029" t="s">
        <v>19</v>
      </c>
    </row>
    <row r="1030" spans="1:11">
      <c r="A1030" s="1">
        <v>45884</v>
      </c>
      <c r="B1030" t="s">
        <v>90</v>
      </c>
      <c r="C1030" t="s">
        <v>104</v>
      </c>
      <c r="D1030" t="s">
        <v>108</v>
      </c>
      <c r="E1030" t="s">
        <v>186</v>
      </c>
      <c r="F1030" t="s">
        <v>26</v>
      </c>
      <c r="G1030" s="2">
        <v>100</v>
      </c>
      <c r="H1030" t="s">
        <v>27</v>
      </c>
      <c r="I1030" t="s">
        <v>181</v>
      </c>
      <c r="J1030" t="s">
        <v>18</v>
      </c>
      <c r="K1030" t="s">
        <v>19</v>
      </c>
    </row>
    <row r="1031" spans="1:11">
      <c r="A1031" s="1">
        <v>45884</v>
      </c>
      <c r="B1031" t="s">
        <v>90</v>
      </c>
      <c r="C1031" t="s">
        <v>104</v>
      </c>
      <c r="D1031" t="s">
        <v>109</v>
      </c>
      <c r="E1031" t="s">
        <v>180</v>
      </c>
      <c r="F1031" t="s">
        <v>26</v>
      </c>
      <c r="G1031" s="2">
        <v>86.67</v>
      </c>
      <c r="H1031" t="s">
        <v>27</v>
      </c>
      <c r="I1031" t="s">
        <v>181</v>
      </c>
      <c r="J1031" t="s">
        <v>18</v>
      </c>
      <c r="K1031" t="s">
        <v>19</v>
      </c>
    </row>
    <row r="1032" spans="1:11">
      <c r="A1032" s="1">
        <v>45884</v>
      </c>
      <c r="B1032" t="s">
        <v>90</v>
      </c>
      <c r="C1032" t="s">
        <v>104</v>
      </c>
      <c r="D1032" t="s">
        <v>109</v>
      </c>
      <c r="E1032" t="s">
        <v>182</v>
      </c>
      <c r="F1032" t="s">
        <v>26</v>
      </c>
      <c r="G1032" s="2">
        <v>50</v>
      </c>
      <c r="H1032" t="s">
        <v>27</v>
      </c>
      <c r="I1032" t="s">
        <v>181</v>
      </c>
      <c r="J1032" t="s">
        <v>18</v>
      </c>
      <c r="K1032" t="s">
        <v>19</v>
      </c>
    </row>
    <row r="1033" spans="1:11">
      <c r="A1033" s="1">
        <v>45884</v>
      </c>
      <c r="B1033" t="s">
        <v>90</v>
      </c>
      <c r="C1033" t="s">
        <v>104</v>
      </c>
      <c r="D1033" t="s">
        <v>109</v>
      </c>
      <c r="E1033" t="s">
        <v>183</v>
      </c>
      <c r="F1033" t="s">
        <v>26</v>
      </c>
      <c r="G1033" s="2">
        <v>100</v>
      </c>
      <c r="H1033" t="s">
        <v>27</v>
      </c>
      <c r="I1033" t="s">
        <v>181</v>
      </c>
      <c r="J1033" t="s">
        <v>18</v>
      </c>
      <c r="K1033" t="s">
        <v>19</v>
      </c>
    </row>
    <row r="1034" spans="1:11">
      <c r="A1034" s="1">
        <v>45884</v>
      </c>
      <c r="B1034" t="s">
        <v>90</v>
      </c>
      <c r="C1034" t="s">
        <v>104</v>
      </c>
      <c r="D1034" t="s">
        <v>109</v>
      </c>
      <c r="E1034" t="s">
        <v>25</v>
      </c>
      <c r="F1034" t="s">
        <v>26</v>
      </c>
      <c r="G1034" s="2">
        <v>173.33</v>
      </c>
      <c r="H1034" t="s">
        <v>27</v>
      </c>
      <c r="I1034" t="s">
        <v>181</v>
      </c>
      <c r="J1034" t="s">
        <v>18</v>
      </c>
      <c r="K1034" t="s">
        <v>19</v>
      </c>
    </row>
    <row r="1035" spans="1:11">
      <c r="A1035" s="1">
        <v>45884</v>
      </c>
      <c r="B1035" t="s">
        <v>90</v>
      </c>
      <c r="C1035" t="s">
        <v>104</v>
      </c>
      <c r="D1035" t="s">
        <v>109</v>
      </c>
      <c r="E1035" t="s">
        <v>184</v>
      </c>
      <c r="F1035" t="s">
        <v>185</v>
      </c>
      <c r="G1035" s="2">
        <v>260</v>
      </c>
      <c r="H1035" t="s">
        <v>27</v>
      </c>
      <c r="I1035" t="s">
        <v>181</v>
      </c>
      <c r="J1035" t="s">
        <v>18</v>
      </c>
      <c r="K1035" t="s">
        <v>19</v>
      </c>
    </row>
    <row r="1036" spans="1:11">
      <c r="A1036" s="1">
        <v>45884</v>
      </c>
      <c r="B1036" t="s">
        <v>90</v>
      </c>
      <c r="C1036" t="s">
        <v>104</v>
      </c>
      <c r="D1036" t="s">
        <v>109</v>
      </c>
      <c r="E1036" t="s">
        <v>186</v>
      </c>
      <c r="F1036" t="s">
        <v>26</v>
      </c>
      <c r="G1036" s="2">
        <v>100</v>
      </c>
      <c r="H1036" t="s">
        <v>27</v>
      </c>
      <c r="I1036" t="s">
        <v>181</v>
      </c>
      <c r="J1036" t="s">
        <v>18</v>
      </c>
      <c r="K1036" t="s">
        <v>19</v>
      </c>
    </row>
    <row r="1037" spans="1:11">
      <c r="A1037" s="1">
        <v>45884</v>
      </c>
      <c r="B1037" t="s">
        <v>90</v>
      </c>
      <c r="C1037" t="s">
        <v>104</v>
      </c>
      <c r="D1037" t="s">
        <v>112</v>
      </c>
      <c r="E1037" t="s">
        <v>180</v>
      </c>
      <c r="F1037" t="s">
        <v>26</v>
      </c>
      <c r="G1037" s="2">
        <v>80</v>
      </c>
      <c r="H1037" t="s">
        <v>27</v>
      </c>
      <c r="I1037" t="s">
        <v>181</v>
      </c>
      <c r="J1037" t="s">
        <v>18</v>
      </c>
      <c r="K1037" t="s">
        <v>19</v>
      </c>
    </row>
    <row r="1038" spans="1:11">
      <c r="A1038" s="1">
        <v>45884</v>
      </c>
      <c r="B1038" t="s">
        <v>90</v>
      </c>
      <c r="C1038" t="s">
        <v>104</v>
      </c>
      <c r="D1038" t="s">
        <v>112</v>
      </c>
      <c r="E1038" t="s">
        <v>183</v>
      </c>
      <c r="F1038" t="s">
        <v>26</v>
      </c>
      <c r="G1038" s="2">
        <v>100</v>
      </c>
      <c r="H1038" t="s">
        <v>27</v>
      </c>
      <c r="I1038" t="s">
        <v>181</v>
      </c>
      <c r="J1038" t="s">
        <v>18</v>
      </c>
      <c r="K1038" t="s">
        <v>19</v>
      </c>
    </row>
    <row r="1039" spans="1:11">
      <c r="A1039" s="1">
        <v>45884</v>
      </c>
      <c r="B1039" t="s">
        <v>90</v>
      </c>
      <c r="C1039" t="s">
        <v>104</v>
      </c>
      <c r="D1039" t="s">
        <v>112</v>
      </c>
      <c r="E1039" t="s">
        <v>25</v>
      </c>
      <c r="F1039" t="s">
        <v>26</v>
      </c>
      <c r="G1039" s="2">
        <v>170</v>
      </c>
      <c r="H1039" t="s">
        <v>27</v>
      </c>
      <c r="I1039" t="s">
        <v>181</v>
      </c>
      <c r="J1039" t="s">
        <v>18</v>
      </c>
      <c r="K1039" t="s">
        <v>19</v>
      </c>
    </row>
    <row r="1040" spans="1:11">
      <c r="A1040" s="1">
        <v>45884</v>
      </c>
      <c r="B1040" t="s">
        <v>90</v>
      </c>
      <c r="C1040" t="s">
        <v>104</v>
      </c>
      <c r="D1040" t="s">
        <v>112</v>
      </c>
      <c r="E1040" t="s">
        <v>184</v>
      </c>
      <c r="F1040" t="s">
        <v>185</v>
      </c>
      <c r="G1040" s="2">
        <v>270</v>
      </c>
      <c r="H1040" t="s">
        <v>27</v>
      </c>
      <c r="I1040" t="s">
        <v>181</v>
      </c>
      <c r="J1040" t="s">
        <v>18</v>
      </c>
      <c r="K1040" t="s">
        <v>19</v>
      </c>
    </row>
    <row r="1041" spans="1:11">
      <c r="A1041" s="1">
        <v>45884</v>
      </c>
      <c r="B1041" t="s">
        <v>90</v>
      </c>
      <c r="C1041" t="s">
        <v>104</v>
      </c>
      <c r="D1041" t="s">
        <v>112</v>
      </c>
      <c r="E1041" t="s">
        <v>186</v>
      </c>
      <c r="F1041" t="s">
        <v>26</v>
      </c>
      <c r="G1041" s="2">
        <v>105</v>
      </c>
      <c r="H1041" t="s">
        <v>27</v>
      </c>
      <c r="I1041" t="s">
        <v>181</v>
      </c>
      <c r="J1041" t="s">
        <v>18</v>
      </c>
      <c r="K1041" t="s">
        <v>19</v>
      </c>
    </row>
    <row r="1042" spans="1:11">
      <c r="A1042" s="1">
        <v>45884</v>
      </c>
      <c r="B1042" t="s">
        <v>90</v>
      </c>
      <c r="C1042" t="s">
        <v>104</v>
      </c>
      <c r="D1042" t="s">
        <v>113</v>
      </c>
      <c r="E1042" t="s">
        <v>180</v>
      </c>
      <c r="F1042" t="s">
        <v>26</v>
      </c>
      <c r="G1042" s="2">
        <v>80</v>
      </c>
      <c r="H1042" t="s">
        <v>27</v>
      </c>
      <c r="I1042" t="s">
        <v>181</v>
      </c>
      <c r="J1042" t="s">
        <v>18</v>
      </c>
      <c r="K1042" t="s">
        <v>19</v>
      </c>
    </row>
    <row r="1043" spans="1:11">
      <c r="A1043" s="1">
        <v>45884</v>
      </c>
      <c r="B1043" t="s">
        <v>90</v>
      </c>
      <c r="C1043" t="s">
        <v>104</v>
      </c>
      <c r="D1043" t="s">
        <v>113</v>
      </c>
      <c r="E1043" t="s">
        <v>183</v>
      </c>
      <c r="F1043" t="s">
        <v>26</v>
      </c>
      <c r="G1043" s="2">
        <v>110</v>
      </c>
      <c r="H1043" t="s">
        <v>27</v>
      </c>
      <c r="I1043" t="s">
        <v>181</v>
      </c>
      <c r="J1043" t="s">
        <v>18</v>
      </c>
      <c r="K1043" t="s">
        <v>19</v>
      </c>
    </row>
    <row r="1044" spans="1:11">
      <c r="A1044" s="1">
        <v>45884</v>
      </c>
      <c r="B1044" t="s">
        <v>90</v>
      </c>
      <c r="C1044" t="s">
        <v>104</v>
      </c>
      <c r="D1044" t="s">
        <v>113</v>
      </c>
      <c r="E1044" t="s">
        <v>25</v>
      </c>
      <c r="F1044" t="s">
        <v>26</v>
      </c>
      <c r="G1044" s="2">
        <v>170</v>
      </c>
      <c r="H1044" t="s">
        <v>27</v>
      </c>
      <c r="I1044" t="s">
        <v>181</v>
      </c>
      <c r="J1044" t="s">
        <v>18</v>
      </c>
      <c r="K1044" t="s">
        <v>19</v>
      </c>
    </row>
    <row r="1045" spans="1:11">
      <c r="A1045" s="1">
        <v>45884</v>
      </c>
      <c r="B1045" t="s">
        <v>90</v>
      </c>
      <c r="C1045" t="s">
        <v>104</v>
      </c>
      <c r="D1045" t="s">
        <v>113</v>
      </c>
      <c r="E1045" t="s">
        <v>184</v>
      </c>
      <c r="F1045" t="s">
        <v>185</v>
      </c>
      <c r="G1045" s="2">
        <v>290</v>
      </c>
      <c r="H1045" t="s">
        <v>27</v>
      </c>
      <c r="I1045" t="s">
        <v>181</v>
      </c>
      <c r="J1045" t="s">
        <v>18</v>
      </c>
      <c r="K1045" t="s">
        <v>19</v>
      </c>
    </row>
    <row r="1046" spans="1:11">
      <c r="A1046" s="1">
        <v>45884</v>
      </c>
      <c r="B1046" t="s">
        <v>90</v>
      </c>
      <c r="C1046" t="s">
        <v>104</v>
      </c>
      <c r="D1046" t="s">
        <v>113</v>
      </c>
      <c r="E1046" t="s">
        <v>186</v>
      </c>
      <c r="F1046" t="s">
        <v>26</v>
      </c>
      <c r="G1046" s="2">
        <v>100</v>
      </c>
      <c r="H1046" t="s">
        <v>27</v>
      </c>
      <c r="I1046" t="s">
        <v>181</v>
      </c>
      <c r="J1046" t="s">
        <v>18</v>
      </c>
      <c r="K1046" t="s">
        <v>19</v>
      </c>
    </row>
    <row r="1047" spans="1:11">
      <c r="A1047" s="1">
        <v>45884</v>
      </c>
      <c r="B1047" t="s">
        <v>90</v>
      </c>
      <c r="C1047" t="s">
        <v>104</v>
      </c>
      <c r="D1047" t="s">
        <v>114</v>
      </c>
      <c r="E1047" t="s">
        <v>180</v>
      </c>
      <c r="F1047" t="s">
        <v>26</v>
      </c>
      <c r="G1047" s="2">
        <v>80</v>
      </c>
      <c r="H1047" t="s">
        <v>27</v>
      </c>
      <c r="I1047" t="s">
        <v>181</v>
      </c>
      <c r="J1047" t="s">
        <v>18</v>
      </c>
      <c r="K1047" t="s">
        <v>19</v>
      </c>
    </row>
    <row r="1048" spans="1:11">
      <c r="A1048" s="1">
        <v>45884</v>
      </c>
      <c r="B1048" t="s">
        <v>90</v>
      </c>
      <c r="C1048" t="s">
        <v>104</v>
      </c>
      <c r="D1048" t="s">
        <v>114</v>
      </c>
      <c r="E1048" t="s">
        <v>182</v>
      </c>
      <c r="F1048" t="s">
        <v>26</v>
      </c>
      <c r="G1048" s="2">
        <v>60</v>
      </c>
      <c r="H1048" t="s">
        <v>27</v>
      </c>
      <c r="I1048" t="s">
        <v>181</v>
      </c>
      <c r="J1048" t="s">
        <v>18</v>
      </c>
      <c r="K1048" t="s">
        <v>19</v>
      </c>
    </row>
    <row r="1049" spans="1:11">
      <c r="A1049" s="1">
        <v>45884</v>
      </c>
      <c r="B1049" t="s">
        <v>90</v>
      </c>
      <c r="C1049" t="s">
        <v>104</v>
      </c>
      <c r="D1049" t="s">
        <v>114</v>
      </c>
      <c r="E1049" t="s">
        <v>183</v>
      </c>
      <c r="F1049" t="s">
        <v>26</v>
      </c>
      <c r="G1049" s="2">
        <v>113.33</v>
      </c>
      <c r="H1049" t="s">
        <v>27</v>
      </c>
      <c r="I1049" t="s">
        <v>181</v>
      </c>
      <c r="J1049" t="s">
        <v>18</v>
      </c>
      <c r="K1049" t="s">
        <v>19</v>
      </c>
    </row>
    <row r="1050" spans="1:11">
      <c r="A1050" s="1">
        <v>45884</v>
      </c>
      <c r="B1050" t="s">
        <v>90</v>
      </c>
      <c r="C1050" t="s">
        <v>104</v>
      </c>
      <c r="D1050" t="s">
        <v>114</v>
      </c>
      <c r="E1050" t="s">
        <v>25</v>
      </c>
      <c r="F1050" t="s">
        <v>26</v>
      </c>
      <c r="G1050" s="2">
        <v>170</v>
      </c>
      <c r="H1050" t="s">
        <v>27</v>
      </c>
      <c r="I1050" t="s">
        <v>181</v>
      </c>
      <c r="J1050" t="s">
        <v>18</v>
      </c>
      <c r="K1050" t="s">
        <v>19</v>
      </c>
    </row>
    <row r="1051" spans="1:11">
      <c r="A1051" s="1">
        <v>45884</v>
      </c>
      <c r="B1051" t="s">
        <v>90</v>
      </c>
      <c r="C1051" t="s">
        <v>104</v>
      </c>
      <c r="D1051" t="s">
        <v>114</v>
      </c>
      <c r="E1051" t="s">
        <v>184</v>
      </c>
      <c r="F1051" t="s">
        <v>185</v>
      </c>
      <c r="G1051" s="2">
        <v>280</v>
      </c>
      <c r="H1051" t="s">
        <v>27</v>
      </c>
      <c r="I1051" t="s">
        <v>181</v>
      </c>
      <c r="J1051" t="s">
        <v>18</v>
      </c>
      <c r="K1051" t="s">
        <v>19</v>
      </c>
    </row>
    <row r="1052" spans="1:11">
      <c r="A1052" s="1">
        <v>45884</v>
      </c>
      <c r="B1052" t="s">
        <v>90</v>
      </c>
      <c r="C1052" t="s">
        <v>104</v>
      </c>
      <c r="D1052" t="s">
        <v>114</v>
      </c>
      <c r="E1052" t="s">
        <v>186</v>
      </c>
      <c r="F1052" t="s">
        <v>26</v>
      </c>
      <c r="G1052" s="2">
        <v>115</v>
      </c>
      <c r="H1052" t="s">
        <v>27</v>
      </c>
      <c r="I1052" t="s">
        <v>181</v>
      </c>
      <c r="J1052" t="s">
        <v>18</v>
      </c>
      <c r="K1052" t="s">
        <v>19</v>
      </c>
    </row>
    <row r="1053" spans="1:11">
      <c r="A1053" s="1">
        <v>45884</v>
      </c>
      <c r="B1053" t="s">
        <v>90</v>
      </c>
      <c r="C1053" t="s">
        <v>104</v>
      </c>
      <c r="D1053" t="s">
        <v>118</v>
      </c>
      <c r="E1053" t="s">
        <v>180</v>
      </c>
      <c r="F1053" t="s">
        <v>26</v>
      </c>
      <c r="G1053" s="2">
        <v>80</v>
      </c>
      <c r="H1053" t="s">
        <v>27</v>
      </c>
      <c r="I1053" t="s">
        <v>181</v>
      </c>
      <c r="J1053" t="s">
        <v>18</v>
      </c>
      <c r="K1053" t="s">
        <v>19</v>
      </c>
    </row>
    <row r="1054" spans="1:11">
      <c r="A1054" s="1">
        <v>45884</v>
      </c>
      <c r="B1054" t="s">
        <v>90</v>
      </c>
      <c r="C1054" t="s">
        <v>104</v>
      </c>
      <c r="D1054" t="s">
        <v>118</v>
      </c>
      <c r="E1054" t="s">
        <v>183</v>
      </c>
      <c r="F1054" t="s">
        <v>26</v>
      </c>
      <c r="G1054" s="2">
        <v>113.33</v>
      </c>
      <c r="H1054" t="s">
        <v>27</v>
      </c>
      <c r="I1054" t="s">
        <v>181</v>
      </c>
      <c r="J1054" t="s">
        <v>18</v>
      </c>
      <c r="K1054" t="s">
        <v>19</v>
      </c>
    </row>
    <row r="1055" spans="1:11">
      <c r="A1055" s="1">
        <v>45884</v>
      </c>
      <c r="B1055" t="s">
        <v>90</v>
      </c>
      <c r="C1055" t="s">
        <v>104</v>
      </c>
      <c r="D1055" t="s">
        <v>118</v>
      </c>
      <c r="E1055" t="s">
        <v>25</v>
      </c>
      <c r="F1055" t="s">
        <v>26</v>
      </c>
      <c r="G1055" s="2">
        <v>170</v>
      </c>
      <c r="H1055" t="s">
        <v>27</v>
      </c>
      <c r="I1055" t="s">
        <v>181</v>
      </c>
      <c r="J1055" t="s">
        <v>18</v>
      </c>
      <c r="K1055" t="s">
        <v>19</v>
      </c>
    </row>
    <row r="1056" spans="1:11">
      <c r="A1056" s="1">
        <v>45884</v>
      </c>
      <c r="B1056" t="s">
        <v>90</v>
      </c>
      <c r="C1056" t="s">
        <v>104</v>
      </c>
      <c r="D1056" t="s">
        <v>118</v>
      </c>
      <c r="E1056" t="s">
        <v>184</v>
      </c>
      <c r="F1056" t="s">
        <v>185</v>
      </c>
      <c r="G1056" s="2">
        <v>280</v>
      </c>
      <c r="H1056" t="s">
        <v>27</v>
      </c>
      <c r="I1056" t="s">
        <v>181</v>
      </c>
      <c r="J1056" t="s">
        <v>18</v>
      </c>
      <c r="K1056" t="s">
        <v>19</v>
      </c>
    </row>
    <row r="1057" spans="1:11">
      <c r="A1057" s="1">
        <v>45884</v>
      </c>
      <c r="B1057" t="s">
        <v>90</v>
      </c>
      <c r="C1057" t="s">
        <v>104</v>
      </c>
      <c r="D1057" t="s">
        <v>118</v>
      </c>
      <c r="E1057" t="s">
        <v>186</v>
      </c>
      <c r="F1057" t="s">
        <v>26</v>
      </c>
      <c r="G1057" s="2">
        <v>100</v>
      </c>
      <c r="H1057" t="s">
        <v>27</v>
      </c>
      <c r="I1057" t="s">
        <v>181</v>
      </c>
      <c r="J1057" t="s">
        <v>18</v>
      </c>
      <c r="K1057" t="s">
        <v>19</v>
      </c>
    </row>
    <row r="1058" spans="1:11">
      <c r="A1058" s="1">
        <v>45884</v>
      </c>
      <c r="B1058" t="s">
        <v>90</v>
      </c>
      <c r="C1058" t="s">
        <v>104</v>
      </c>
      <c r="D1058" t="s">
        <v>119</v>
      </c>
      <c r="E1058" t="s">
        <v>180</v>
      </c>
      <c r="F1058" t="s">
        <v>26</v>
      </c>
      <c r="G1058" s="2">
        <v>80</v>
      </c>
      <c r="H1058" t="s">
        <v>27</v>
      </c>
      <c r="I1058" t="s">
        <v>181</v>
      </c>
      <c r="J1058" t="s">
        <v>18</v>
      </c>
      <c r="K1058" t="s">
        <v>19</v>
      </c>
    </row>
    <row r="1059" spans="1:11">
      <c r="A1059" s="1">
        <v>45884</v>
      </c>
      <c r="B1059" t="s">
        <v>90</v>
      </c>
      <c r="C1059" t="s">
        <v>104</v>
      </c>
      <c r="D1059" t="s">
        <v>119</v>
      </c>
      <c r="E1059" t="s">
        <v>182</v>
      </c>
      <c r="F1059" t="s">
        <v>26</v>
      </c>
      <c r="G1059" s="2">
        <v>75</v>
      </c>
      <c r="H1059" t="s">
        <v>27</v>
      </c>
      <c r="I1059" t="s">
        <v>181</v>
      </c>
      <c r="J1059" t="s">
        <v>18</v>
      </c>
      <c r="K1059" t="s">
        <v>19</v>
      </c>
    </row>
    <row r="1060" spans="1:11">
      <c r="A1060" s="1">
        <v>45884</v>
      </c>
      <c r="B1060" t="s">
        <v>90</v>
      </c>
      <c r="C1060" t="s">
        <v>104</v>
      </c>
      <c r="D1060" t="s">
        <v>119</v>
      </c>
      <c r="E1060" t="s">
        <v>183</v>
      </c>
      <c r="F1060" t="s">
        <v>26</v>
      </c>
      <c r="G1060" s="2">
        <v>120</v>
      </c>
      <c r="H1060" t="s">
        <v>27</v>
      </c>
      <c r="I1060" t="s">
        <v>181</v>
      </c>
      <c r="J1060" t="s">
        <v>18</v>
      </c>
      <c r="K1060" t="s">
        <v>19</v>
      </c>
    </row>
    <row r="1061" spans="1:11">
      <c r="A1061" s="1">
        <v>45884</v>
      </c>
      <c r="B1061" t="s">
        <v>90</v>
      </c>
      <c r="C1061" t="s">
        <v>104</v>
      </c>
      <c r="D1061" t="s">
        <v>119</v>
      </c>
      <c r="E1061" t="s">
        <v>25</v>
      </c>
      <c r="F1061" t="s">
        <v>26</v>
      </c>
      <c r="G1061" s="2">
        <v>170</v>
      </c>
      <c r="H1061" t="s">
        <v>27</v>
      </c>
      <c r="I1061" t="s">
        <v>181</v>
      </c>
      <c r="J1061" t="s">
        <v>18</v>
      </c>
      <c r="K1061" t="s">
        <v>19</v>
      </c>
    </row>
    <row r="1062" spans="1:11">
      <c r="A1062" s="1">
        <v>45884</v>
      </c>
      <c r="B1062" t="s">
        <v>90</v>
      </c>
      <c r="C1062" t="s">
        <v>104</v>
      </c>
      <c r="D1062" t="s">
        <v>119</v>
      </c>
      <c r="E1062" t="s">
        <v>184</v>
      </c>
      <c r="F1062" t="s">
        <v>185</v>
      </c>
      <c r="G1062" s="2">
        <v>280</v>
      </c>
      <c r="H1062" t="s">
        <v>27</v>
      </c>
      <c r="I1062" t="s">
        <v>181</v>
      </c>
      <c r="J1062" t="s">
        <v>18</v>
      </c>
      <c r="K1062" t="s">
        <v>19</v>
      </c>
    </row>
    <row r="1063" spans="1:11">
      <c r="A1063" s="1">
        <v>45884</v>
      </c>
      <c r="B1063" t="s">
        <v>90</v>
      </c>
      <c r="C1063" t="s">
        <v>104</v>
      </c>
      <c r="D1063" t="s">
        <v>119</v>
      </c>
      <c r="E1063" t="s">
        <v>186</v>
      </c>
      <c r="F1063" t="s">
        <v>26</v>
      </c>
      <c r="G1063" s="2">
        <v>100</v>
      </c>
      <c r="H1063" t="s">
        <v>27</v>
      </c>
      <c r="I1063" t="s">
        <v>181</v>
      </c>
      <c r="J1063" t="s">
        <v>18</v>
      </c>
      <c r="K1063" t="s">
        <v>19</v>
      </c>
    </row>
    <row r="1064" spans="1:11">
      <c r="A1064" s="1">
        <v>45884</v>
      </c>
      <c r="B1064" t="s">
        <v>90</v>
      </c>
      <c r="C1064" t="s">
        <v>104</v>
      </c>
      <c r="D1064" t="s">
        <v>120</v>
      </c>
      <c r="E1064" t="s">
        <v>180</v>
      </c>
      <c r="F1064" t="s">
        <v>26</v>
      </c>
      <c r="G1064" s="2">
        <v>83.33</v>
      </c>
      <c r="H1064" t="s">
        <v>27</v>
      </c>
      <c r="I1064" t="s">
        <v>181</v>
      </c>
      <c r="J1064" t="s">
        <v>18</v>
      </c>
      <c r="K1064" t="s">
        <v>19</v>
      </c>
    </row>
    <row r="1065" spans="1:11">
      <c r="A1065" s="1">
        <v>45884</v>
      </c>
      <c r="B1065" t="s">
        <v>90</v>
      </c>
      <c r="C1065" t="s">
        <v>104</v>
      </c>
      <c r="D1065" t="s">
        <v>120</v>
      </c>
      <c r="E1065" t="s">
        <v>182</v>
      </c>
      <c r="F1065" t="s">
        <v>26</v>
      </c>
      <c r="G1065" s="2">
        <v>80</v>
      </c>
      <c r="H1065" t="s">
        <v>27</v>
      </c>
      <c r="I1065" t="s">
        <v>181</v>
      </c>
      <c r="J1065" t="s">
        <v>18</v>
      </c>
      <c r="K1065" t="s">
        <v>19</v>
      </c>
    </row>
    <row r="1066" spans="1:11">
      <c r="A1066" s="1">
        <v>45884</v>
      </c>
      <c r="B1066" t="s">
        <v>90</v>
      </c>
      <c r="C1066" t="s">
        <v>104</v>
      </c>
      <c r="D1066" t="s">
        <v>120</v>
      </c>
      <c r="E1066" t="s">
        <v>183</v>
      </c>
      <c r="F1066" t="s">
        <v>26</v>
      </c>
      <c r="G1066" s="2">
        <v>120</v>
      </c>
      <c r="H1066" t="s">
        <v>27</v>
      </c>
      <c r="I1066" t="s">
        <v>181</v>
      </c>
      <c r="J1066" t="s">
        <v>18</v>
      </c>
      <c r="K1066" t="s">
        <v>19</v>
      </c>
    </row>
    <row r="1067" spans="1:11">
      <c r="A1067" s="1">
        <v>45884</v>
      </c>
      <c r="B1067" t="s">
        <v>90</v>
      </c>
      <c r="C1067" t="s">
        <v>104</v>
      </c>
      <c r="D1067" t="s">
        <v>120</v>
      </c>
      <c r="E1067" t="s">
        <v>25</v>
      </c>
      <c r="F1067" t="s">
        <v>26</v>
      </c>
      <c r="G1067" s="2">
        <v>170</v>
      </c>
      <c r="H1067" t="s">
        <v>27</v>
      </c>
      <c r="I1067" t="s">
        <v>181</v>
      </c>
      <c r="J1067" t="s">
        <v>18</v>
      </c>
      <c r="K1067" t="s">
        <v>19</v>
      </c>
    </row>
    <row r="1068" spans="1:11">
      <c r="A1068" s="1">
        <v>45884</v>
      </c>
      <c r="B1068" t="s">
        <v>90</v>
      </c>
      <c r="C1068" t="s">
        <v>104</v>
      </c>
      <c r="D1068" t="s">
        <v>120</v>
      </c>
      <c r="E1068" t="s">
        <v>184</v>
      </c>
      <c r="F1068" t="s">
        <v>185</v>
      </c>
      <c r="G1068" s="2">
        <v>293.33</v>
      </c>
      <c r="H1068" t="s">
        <v>27</v>
      </c>
      <c r="I1068" t="s">
        <v>181</v>
      </c>
      <c r="J1068" t="s">
        <v>18</v>
      </c>
      <c r="K1068" t="s">
        <v>19</v>
      </c>
    </row>
    <row r="1069" spans="1:11">
      <c r="A1069" s="1">
        <v>45884</v>
      </c>
      <c r="B1069" t="s">
        <v>90</v>
      </c>
      <c r="C1069" t="s">
        <v>104</v>
      </c>
      <c r="D1069" t="s">
        <v>120</v>
      </c>
      <c r="E1069" t="s">
        <v>186</v>
      </c>
      <c r="F1069" t="s">
        <v>26</v>
      </c>
      <c r="G1069" s="2">
        <v>100</v>
      </c>
      <c r="H1069" t="s">
        <v>27</v>
      </c>
      <c r="I1069" t="s">
        <v>181</v>
      </c>
      <c r="J1069" t="s">
        <v>18</v>
      </c>
      <c r="K1069" t="s">
        <v>19</v>
      </c>
    </row>
    <row r="1070" spans="1:11">
      <c r="A1070" s="1">
        <v>45884</v>
      </c>
      <c r="B1070" t="s">
        <v>90</v>
      </c>
      <c r="C1070" t="s">
        <v>104</v>
      </c>
      <c r="D1070" t="s">
        <v>157</v>
      </c>
      <c r="E1070" t="s">
        <v>180</v>
      </c>
      <c r="F1070" t="s">
        <v>26</v>
      </c>
      <c r="G1070" s="2">
        <v>90</v>
      </c>
      <c r="H1070" t="s">
        <v>27</v>
      </c>
      <c r="I1070" t="s">
        <v>181</v>
      </c>
      <c r="J1070" t="s">
        <v>18</v>
      </c>
      <c r="K1070" t="s">
        <v>19</v>
      </c>
    </row>
    <row r="1071" spans="1:11">
      <c r="A1071" s="1">
        <v>45884</v>
      </c>
      <c r="B1071" t="s">
        <v>90</v>
      </c>
      <c r="C1071" t="s">
        <v>104</v>
      </c>
      <c r="D1071" t="s">
        <v>157</v>
      </c>
      <c r="E1071" t="s">
        <v>182</v>
      </c>
      <c r="F1071" t="s">
        <v>26</v>
      </c>
      <c r="G1071" s="2">
        <v>50</v>
      </c>
      <c r="H1071" t="s">
        <v>27</v>
      </c>
      <c r="I1071" t="s">
        <v>181</v>
      </c>
      <c r="J1071" t="s">
        <v>18</v>
      </c>
      <c r="K1071" t="s">
        <v>19</v>
      </c>
    </row>
    <row r="1072" spans="1:11">
      <c r="A1072" s="1">
        <v>45884</v>
      </c>
      <c r="B1072" t="s">
        <v>90</v>
      </c>
      <c r="C1072" t="s">
        <v>104</v>
      </c>
      <c r="D1072" t="s">
        <v>157</v>
      </c>
      <c r="E1072" t="s">
        <v>183</v>
      </c>
      <c r="F1072" t="s">
        <v>26</v>
      </c>
      <c r="G1072" s="2">
        <v>110</v>
      </c>
      <c r="H1072" t="s">
        <v>27</v>
      </c>
      <c r="I1072" t="s">
        <v>181</v>
      </c>
      <c r="J1072" t="s">
        <v>18</v>
      </c>
      <c r="K1072" t="s">
        <v>19</v>
      </c>
    </row>
    <row r="1073" spans="1:11">
      <c r="A1073" s="1">
        <v>45884</v>
      </c>
      <c r="B1073" t="s">
        <v>90</v>
      </c>
      <c r="C1073" t="s">
        <v>104</v>
      </c>
      <c r="D1073" t="s">
        <v>157</v>
      </c>
      <c r="E1073" t="s">
        <v>25</v>
      </c>
      <c r="F1073" t="s">
        <v>26</v>
      </c>
      <c r="G1073" s="2">
        <v>170</v>
      </c>
      <c r="H1073" t="s">
        <v>27</v>
      </c>
      <c r="I1073" t="s">
        <v>181</v>
      </c>
      <c r="J1073" t="s">
        <v>18</v>
      </c>
      <c r="K1073" t="s">
        <v>19</v>
      </c>
    </row>
    <row r="1074" spans="1:11">
      <c r="A1074" s="1">
        <v>45884</v>
      </c>
      <c r="B1074" t="s">
        <v>90</v>
      </c>
      <c r="C1074" t="s">
        <v>104</v>
      </c>
      <c r="D1074" t="s">
        <v>157</v>
      </c>
      <c r="E1074" t="s">
        <v>184</v>
      </c>
      <c r="F1074" t="s">
        <v>185</v>
      </c>
      <c r="G1074" s="2">
        <v>270</v>
      </c>
      <c r="H1074" t="s">
        <v>27</v>
      </c>
      <c r="I1074" t="s">
        <v>181</v>
      </c>
      <c r="J1074" t="s">
        <v>18</v>
      </c>
      <c r="K1074" t="s">
        <v>19</v>
      </c>
    </row>
    <row r="1075" spans="1:11">
      <c r="A1075" s="1">
        <v>45884</v>
      </c>
      <c r="B1075" t="s">
        <v>90</v>
      </c>
      <c r="C1075" t="s">
        <v>104</v>
      </c>
      <c r="D1075" t="s">
        <v>157</v>
      </c>
      <c r="E1075" t="s">
        <v>186</v>
      </c>
      <c r="F1075" t="s">
        <v>26</v>
      </c>
      <c r="G1075" s="2">
        <v>100</v>
      </c>
      <c r="H1075" t="s">
        <v>27</v>
      </c>
      <c r="I1075" t="s">
        <v>181</v>
      </c>
      <c r="J1075" t="s">
        <v>18</v>
      </c>
      <c r="K1075" t="s">
        <v>19</v>
      </c>
    </row>
    <row r="1076" spans="1:11">
      <c r="A1076" s="1">
        <v>45915</v>
      </c>
      <c r="B1076" t="s">
        <v>63</v>
      </c>
      <c r="C1076" t="s">
        <v>64</v>
      </c>
      <c r="D1076" t="s">
        <v>68</v>
      </c>
      <c r="E1076" t="s">
        <v>180</v>
      </c>
      <c r="F1076" t="s">
        <v>26</v>
      </c>
      <c r="G1076" s="2">
        <v>100</v>
      </c>
      <c r="H1076" t="s">
        <v>27</v>
      </c>
      <c r="I1076" t="s">
        <v>181</v>
      </c>
      <c r="J1076" t="s">
        <v>18</v>
      </c>
      <c r="K1076" t="s">
        <v>19</v>
      </c>
    </row>
    <row r="1077" spans="1:11">
      <c r="A1077" s="1">
        <v>45915</v>
      </c>
      <c r="B1077" t="s">
        <v>63</v>
      </c>
      <c r="C1077" t="s">
        <v>64</v>
      </c>
      <c r="D1077" t="s">
        <v>68</v>
      </c>
      <c r="E1077" t="s">
        <v>182</v>
      </c>
      <c r="F1077" t="s">
        <v>26</v>
      </c>
      <c r="G1077" s="2">
        <v>53.57</v>
      </c>
      <c r="H1077" t="s">
        <v>27</v>
      </c>
      <c r="I1077" t="s">
        <v>181</v>
      </c>
      <c r="J1077" t="s">
        <v>18</v>
      </c>
      <c r="K1077" t="s">
        <v>19</v>
      </c>
    </row>
    <row r="1078" spans="1:11">
      <c r="A1078" s="1">
        <v>45915</v>
      </c>
      <c r="B1078" t="s">
        <v>63</v>
      </c>
      <c r="C1078" t="s">
        <v>64</v>
      </c>
      <c r="D1078" t="s">
        <v>68</v>
      </c>
      <c r="E1078" t="s">
        <v>183</v>
      </c>
      <c r="F1078" t="s">
        <v>26</v>
      </c>
      <c r="G1078" s="2">
        <v>101.25</v>
      </c>
      <c r="H1078" t="s">
        <v>27</v>
      </c>
      <c r="I1078" t="s">
        <v>181</v>
      </c>
      <c r="J1078" t="s">
        <v>18</v>
      </c>
      <c r="K1078" t="s">
        <v>19</v>
      </c>
    </row>
    <row r="1079" spans="1:11">
      <c r="A1079" s="1">
        <v>45915</v>
      </c>
      <c r="B1079" t="s">
        <v>63</v>
      </c>
      <c r="C1079" t="s">
        <v>64</v>
      </c>
      <c r="D1079" t="s">
        <v>68</v>
      </c>
      <c r="E1079" t="s">
        <v>187</v>
      </c>
      <c r="F1079" t="s">
        <v>185</v>
      </c>
      <c r="G1079" s="2">
        <v>166</v>
      </c>
      <c r="H1079" t="s">
        <v>27</v>
      </c>
      <c r="I1079" t="s">
        <v>181</v>
      </c>
      <c r="J1079" t="s">
        <v>18</v>
      </c>
      <c r="K1079" t="s">
        <v>19</v>
      </c>
    </row>
    <row r="1080" spans="1:11">
      <c r="A1080" s="1">
        <v>45915</v>
      </c>
      <c r="B1080" t="s">
        <v>63</v>
      </c>
      <c r="C1080" t="s">
        <v>64</v>
      </c>
      <c r="D1080" t="s">
        <v>68</v>
      </c>
      <c r="E1080" t="s">
        <v>184</v>
      </c>
      <c r="F1080" t="s">
        <v>185</v>
      </c>
      <c r="G1080" s="2">
        <v>248.29</v>
      </c>
      <c r="H1080" t="s">
        <v>27</v>
      </c>
      <c r="I1080" t="s">
        <v>181</v>
      </c>
      <c r="J1080" t="s">
        <v>18</v>
      </c>
      <c r="K1080" t="s">
        <v>19</v>
      </c>
    </row>
    <row r="1081" spans="1:11">
      <c r="A1081" s="1">
        <v>45915</v>
      </c>
      <c r="B1081" t="s">
        <v>63</v>
      </c>
      <c r="C1081" t="s">
        <v>64</v>
      </c>
      <c r="D1081" t="s">
        <v>68</v>
      </c>
      <c r="E1081" t="s">
        <v>186</v>
      </c>
      <c r="F1081" t="s">
        <v>26</v>
      </c>
      <c r="G1081" s="2">
        <v>101.5</v>
      </c>
      <c r="H1081" t="s">
        <v>27</v>
      </c>
      <c r="I1081" t="s">
        <v>181</v>
      </c>
      <c r="J1081" t="s">
        <v>18</v>
      </c>
      <c r="K1081" t="s">
        <v>19</v>
      </c>
    </row>
    <row r="1082" spans="1:11">
      <c r="A1082" s="1">
        <v>45915</v>
      </c>
      <c r="B1082" t="s">
        <v>63</v>
      </c>
      <c r="C1082" t="s">
        <v>64</v>
      </c>
      <c r="D1082" t="s">
        <v>71</v>
      </c>
      <c r="E1082" t="s">
        <v>180</v>
      </c>
      <c r="F1082" t="s">
        <v>26</v>
      </c>
      <c r="G1082" s="2">
        <v>91.81</v>
      </c>
      <c r="H1082" t="s">
        <v>27</v>
      </c>
      <c r="I1082" t="s">
        <v>181</v>
      </c>
      <c r="J1082" t="s">
        <v>18</v>
      </c>
      <c r="K1082" t="s">
        <v>19</v>
      </c>
    </row>
    <row r="1083" spans="1:11">
      <c r="A1083" s="1">
        <v>45915</v>
      </c>
      <c r="B1083" t="s">
        <v>63</v>
      </c>
      <c r="C1083" t="s">
        <v>64</v>
      </c>
      <c r="D1083" t="s">
        <v>71</v>
      </c>
      <c r="E1083" t="s">
        <v>182</v>
      </c>
      <c r="F1083" t="s">
        <v>26</v>
      </c>
      <c r="G1083" s="2">
        <v>60</v>
      </c>
      <c r="H1083" t="s">
        <v>27</v>
      </c>
      <c r="I1083" t="s">
        <v>181</v>
      </c>
      <c r="J1083" t="s">
        <v>18</v>
      </c>
      <c r="K1083" t="s">
        <v>19</v>
      </c>
    </row>
    <row r="1084" spans="1:11">
      <c r="A1084" s="1">
        <v>45915</v>
      </c>
      <c r="B1084" t="s">
        <v>63</v>
      </c>
      <c r="C1084" t="s">
        <v>64</v>
      </c>
      <c r="D1084" t="s">
        <v>71</v>
      </c>
      <c r="E1084" t="s">
        <v>183</v>
      </c>
      <c r="F1084" t="s">
        <v>26</v>
      </c>
      <c r="G1084" s="2">
        <v>105</v>
      </c>
      <c r="H1084" t="s">
        <v>27</v>
      </c>
      <c r="I1084" t="s">
        <v>181</v>
      </c>
      <c r="J1084" t="s">
        <v>18</v>
      </c>
      <c r="K1084" t="s">
        <v>19</v>
      </c>
    </row>
    <row r="1085" spans="1:11">
      <c r="A1085" s="1">
        <v>45915</v>
      </c>
      <c r="B1085" t="s">
        <v>63</v>
      </c>
      <c r="C1085" t="s">
        <v>64</v>
      </c>
      <c r="D1085" t="s">
        <v>71</v>
      </c>
      <c r="E1085" t="s">
        <v>184</v>
      </c>
      <c r="F1085" t="s">
        <v>185</v>
      </c>
      <c r="G1085" s="2">
        <v>257.6</v>
      </c>
      <c r="H1085" t="s">
        <v>27</v>
      </c>
      <c r="I1085" t="s">
        <v>181</v>
      </c>
      <c r="J1085" t="s">
        <v>18</v>
      </c>
      <c r="K1085" t="s">
        <v>19</v>
      </c>
    </row>
    <row r="1086" spans="1:11">
      <c r="A1086" s="1">
        <v>45915</v>
      </c>
      <c r="B1086" t="s">
        <v>63</v>
      </c>
      <c r="C1086" t="s">
        <v>64</v>
      </c>
      <c r="D1086" t="s">
        <v>71</v>
      </c>
      <c r="E1086" t="s">
        <v>186</v>
      </c>
      <c r="F1086" t="s">
        <v>26</v>
      </c>
      <c r="G1086" s="2">
        <v>112.14</v>
      </c>
      <c r="H1086" t="s">
        <v>27</v>
      </c>
      <c r="I1086" t="s">
        <v>181</v>
      </c>
      <c r="J1086" t="s">
        <v>18</v>
      </c>
      <c r="K1086" t="s">
        <v>19</v>
      </c>
    </row>
    <row r="1087" spans="1:11">
      <c r="A1087" s="1">
        <v>45915</v>
      </c>
      <c r="B1087" t="s">
        <v>63</v>
      </c>
      <c r="C1087" t="s">
        <v>64</v>
      </c>
      <c r="D1087" t="s">
        <v>72</v>
      </c>
      <c r="E1087" t="s">
        <v>180</v>
      </c>
      <c r="F1087" t="s">
        <v>26</v>
      </c>
      <c r="G1087" s="2">
        <v>100</v>
      </c>
      <c r="H1087" t="s">
        <v>27</v>
      </c>
      <c r="I1087" t="s">
        <v>181</v>
      </c>
      <c r="J1087" t="s">
        <v>18</v>
      </c>
      <c r="K1087" t="s">
        <v>19</v>
      </c>
    </row>
    <row r="1088" spans="1:11">
      <c r="A1088" s="1">
        <v>45915</v>
      </c>
      <c r="B1088" t="s">
        <v>63</v>
      </c>
      <c r="C1088" t="s">
        <v>64</v>
      </c>
      <c r="D1088" t="s">
        <v>72</v>
      </c>
      <c r="E1088" t="s">
        <v>182</v>
      </c>
      <c r="F1088" t="s">
        <v>26</v>
      </c>
      <c r="G1088" s="2">
        <v>59.38</v>
      </c>
      <c r="H1088" t="s">
        <v>27</v>
      </c>
      <c r="I1088" t="s">
        <v>181</v>
      </c>
      <c r="J1088" t="s">
        <v>18</v>
      </c>
      <c r="K1088" t="s">
        <v>19</v>
      </c>
    </row>
    <row r="1089" spans="1:11">
      <c r="A1089" s="1">
        <v>45915</v>
      </c>
      <c r="B1089" t="s">
        <v>63</v>
      </c>
      <c r="C1089" t="s">
        <v>64</v>
      </c>
      <c r="D1089" t="s">
        <v>72</v>
      </c>
      <c r="E1089" t="s">
        <v>183</v>
      </c>
      <c r="F1089" t="s">
        <v>26</v>
      </c>
      <c r="G1089" s="2">
        <v>113.27</v>
      </c>
      <c r="H1089" t="s">
        <v>27</v>
      </c>
      <c r="I1089" t="s">
        <v>181</v>
      </c>
      <c r="J1089" t="s">
        <v>18</v>
      </c>
      <c r="K1089" t="s">
        <v>19</v>
      </c>
    </row>
    <row r="1090" spans="1:11">
      <c r="A1090" s="1">
        <v>45915</v>
      </c>
      <c r="B1090" t="s">
        <v>63</v>
      </c>
      <c r="C1090" t="s">
        <v>64</v>
      </c>
      <c r="D1090" t="s">
        <v>72</v>
      </c>
      <c r="E1090" t="s">
        <v>184</v>
      </c>
      <c r="F1090" t="s">
        <v>185</v>
      </c>
      <c r="G1090" s="2">
        <v>250.22</v>
      </c>
      <c r="H1090" t="s">
        <v>27</v>
      </c>
      <c r="I1090" t="s">
        <v>181</v>
      </c>
      <c r="J1090" t="s">
        <v>18</v>
      </c>
      <c r="K1090" t="s">
        <v>19</v>
      </c>
    </row>
    <row r="1091" spans="1:11">
      <c r="A1091" s="1">
        <v>45915</v>
      </c>
      <c r="B1091" t="s">
        <v>63</v>
      </c>
      <c r="C1091" t="s">
        <v>64</v>
      </c>
      <c r="D1091" t="s">
        <v>72</v>
      </c>
      <c r="E1091" t="s">
        <v>186</v>
      </c>
      <c r="F1091" t="s">
        <v>26</v>
      </c>
      <c r="G1091" s="2">
        <v>116.77</v>
      </c>
      <c r="H1091" t="s">
        <v>27</v>
      </c>
      <c r="I1091" t="s">
        <v>181</v>
      </c>
      <c r="J1091" t="s">
        <v>18</v>
      </c>
      <c r="K1091" t="s">
        <v>19</v>
      </c>
    </row>
    <row r="1092" spans="1:11">
      <c r="A1092" s="1">
        <v>45915</v>
      </c>
      <c r="B1092" t="s">
        <v>90</v>
      </c>
      <c r="C1092" t="s">
        <v>104</v>
      </c>
      <c r="D1092" t="s">
        <v>108</v>
      </c>
      <c r="E1092" t="s">
        <v>180</v>
      </c>
      <c r="F1092" t="s">
        <v>26</v>
      </c>
      <c r="G1092" s="2">
        <v>92.5</v>
      </c>
      <c r="H1092" t="s">
        <v>27</v>
      </c>
      <c r="I1092" t="s">
        <v>181</v>
      </c>
      <c r="J1092" t="s">
        <v>18</v>
      </c>
      <c r="K1092" t="s">
        <v>19</v>
      </c>
    </row>
    <row r="1093" spans="1:11">
      <c r="A1093" s="1">
        <v>45915</v>
      </c>
      <c r="B1093" t="s">
        <v>90</v>
      </c>
      <c r="C1093" t="s">
        <v>104</v>
      </c>
      <c r="D1093" t="s">
        <v>108</v>
      </c>
      <c r="E1093" t="s">
        <v>182</v>
      </c>
      <c r="F1093" t="s">
        <v>26</v>
      </c>
      <c r="G1093" s="2">
        <v>60</v>
      </c>
      <c r="H1093" t="s">
        <v>27</v>
      </c>
      <c r="I1093" t="s">
        <v>181</v>
      </c>
      <c r="J1093" t="s">
        <v>18</v>
      </c>
      <c r="K1093" t="s">
        <v>19</v>
      </c>
    </row>
    <row r="1094" spans="1:11">
      <c r="A1094" s="1">
        <v>45915</v>
      </c>
      <c r="B1094" t="s">
        <v>90</v>
      </c>
      <c r="C1094" t="s">
        <v>104</v>
      </c>
      <c r="D1094" t="s">
        <v>108</v>
      </c>
      <c r="E1094" t="s">
        <v>183</v>
      </c>
      <c r="F1094" t="s">
        <v>26</v>
      </c>
      <c r="G1094" s="2">
        <v>133.33</v>
      </c>
      <c r="H1094" t="s">
        <v>27</v>
      </c>
      <c r="I1094" t="s">
        <v>181</v>
      </c>
      <c r="J1094" t="s">
        <v>18</v>
      </c>
      <c r="K1094" t="s">
        <v>19</v>
      </c>
    </row>
    <row r="1095" spans="1:11">
      <c r="A1095" s="1">
        <v>45915</v>
      </c>
      <c r="B1095" t="s">
        <v>90</v>
      </c>
      <c r="C1095" t="s">
        <v>104</v>
      </c>
      <c r="D1095" t="s">
        <v>108</v>
      </c>
      <c r="E1095" t="s">
        <v>184</v>
      </c>
      <c r="F1095" t="s">
        <v>185</v>
      </c>
      <c r="G1095" s="2">
        <v>283.33</v>
      </c>
      <c r="H1095" t="s">
        <v>27</v>
      </c>
      <c r="I1095" t="s">
        <v>181</v>
      </c>
      <c r="J1095" t="s">
        <v>18</v>
      </c>
      <c r="K1095" t="s">
        <v>19</v>
      </c>
    </row>
    <row r="1096" spans="1:11">
      <c r="A1096" s="1">
        <v>45915</v>
      </c>
      <c r="B1096" t="s">
        <v>90</v>
      </c>
      <c r="C1096" t="s">
        <v>104</v>
      </c>
      <c r="D1096" t="s">
        <v>108</v>
      </c>
      <c r="E1096" t="s">
        <v>186</v>
      </c>
      <c r="F1096" t="s">
        <v>26</v>
      </c>
      <c r="G1096" s="2">
        <v>136.67</v>
      </c>
      <c r="H1096" t="s">
        <v>27</v>
      </c>
      <c r="I1096" t="s">
        <v>181</v>
      </c>
      <c r="J1096" t="s">
        <v>18</v>
      </c>
      <c r="K1096" t="s">
        <v>19</v>
      </c>
    </row>
    <row r="1097" spans="1:11">
      <c r="A1097" s="1">
        <v>45915</v>
      </c>
      <c r="B1097" t="s">
        <v>90</v>
      </c>
      <c r="C1097" t="s">
        <v>104</v>
      </c>
      <c r="D1097" t="s">
        <v>112</v>
      </c>
      <c r="E1097" t="s">
        <v>180</v>
      </c>
      <c r="F1097" t="s">
        <v>26</v>
      </c>
      <c r="G1097" s="2">
        <v>80</v>
      </c>
      <c r="H1097" t="s">
        <v>27</v>
      </c>
      <c r="I1097" t="s">
        <v>181</v>
      </c>
      <c r="J1097" t="s">
        <v>18</v>
      </c>
      <c r="K1097" t="s">
        <v>19</v>
      </c>
    </row>
    <row r="1098" spans="1:11">
      <c r="A1098" s="1">
        <v>45915</v>
      </c>
      <c r="B1098" t="s">
        <v>90</v>
      </c>
      <c r="C1098" t="s">
        <v>104</v>
      </c>
      <c r="D1098" t="s">
        <v>112</v>
      </c>
      <c r="E1098" t="s">
        <v>182</v>
      </c>
      <c r="F1098" t="s">
        <v>26</v>
      </c>
      <c r="G1098" s="2">
        <v>70</v>
      </c>
      <c r="H1098" t="s">
        <v>27</v>
      </c>
      <c r="I1098" t="s">
        <v>181</v>
      </c>
      <c r="J1098" t="s">
        <v>18</v>
      </c>
      <c r="K1098" t="s">
        <v>19</v>
      </c>
    </row>
    <row r="1099" spans="1:11">
      <c r="A1099" s="1">
        <v>45915</v>
      </c>
      <c r="B1099" t="s">
        <v>90</v>
      </c>
      <c r="C1099" t="s">
        <v>104</v>
      </c>
      <c r="D1099" t="s">
        <v>112</v>
      </c>
      <c r="E1099" t="s">
        <v>183</v>
      </c>
      <c r="F1099" t="s">
        <v>26</v>
      </c>
      <c r="G1099" s="2">
        <v>100</v>
      </c>
      <c r="H1099" t="s">
        <v>27</v>
      </c>
      <c r="I1099" t="s">
        <v>181</v>
      </c>
      <c r="J1099" t="s">
        <v>18</v>
      </c>
      <c r="K1099" t="s">
        <v>19</v>
      </c>
    </row>
    <row r="1100" spans="1:11">
      <c r="A1100" s="1">
        <v>45915</v>
      </c>
      <c r="B1100" t="s">
        <v>90</v>
      </c>
      <c r="C1100" t="s">
        <v>104</v>
      </c>
      <c r="D1100" t="s">
        <v>112</v>
      </c>
      <c r="E1100" t="s">
        <v>184</v>
      </c>
      <c r="F1100" t="s">
        <v>185</v>
      </c>
      <c r="G1100" s="2">
        <v>275</v>
      </c>
      <c r="H1100" t="s">
        <v>27</v>
      </c>
      <c r="I1100" t="s">
        <v>181</v>
      </c>
      <c r="J1100" t="s">
        <v>18</v>
      </c>
      <c r="K1100" t="s">
        <v>19</v>
      </c>
    </row>
    <row r="1101" spans="1:11">
      <c r="A1101" s="1">
        <v>45915</v>
      </c>
      <c r="B1101" t="s">
        <v>90</v>
      </c>
      <c r="C1101" t="s">
        <v>104</v>
      </c>
      <c r="D1101" t="s">
        <v>112</v>
      </c>
      <c r="E1101" t="s">
        <v>186</v>
      </c>
      <c r="F1101" t="s">
        <v>26</v>
      </c>
      <c r="G1101" s="2">
        <v>125</v>
      </c>
      <c r="H1101" t="s">
        <v>27</v>
      </c>
      <c r="I1101" t="s">
        <v>181</v>
      </c>
      <c r="J1101" t="s">
        <v>18</v>
      </c>
      <c r="K1101" t="s">
        <v>19</v>
      </c>
    </row>
    <row r="1102" spans="1:11">
      <c r="A1102" s="1">
        <v>45915</v>
      </c>
      <c r="B1102" t="s">
        <v>90</v>
      </c>
      <c r="C1102" t="s">
        <v>104</v>
      </c>
      <c r="D1102" t="s">
        <v>113</v>
      </c>
      <c r="E1102" t="s">
        <v>180</v>
      </c>
      <c r="F1102" t="s">
        <v>26</v>
      </c>
      <c r="G1102" s="2">
        <v>80</v>
      </c>
      <c r="H1102" t="s">
        <v>27</v>
      </c>
      <c r="I1102" t="s">
        <v>181</v>
      </c>
      <c r="J1102" t="s">
        <v>18</v>
      </c>
      <c r="K1102" t="s">
        <v>19</v>
      </c>
    </row>
    <row r="1103" spans="1:11">
      <c r="A1103" s="1">
        <v>45915</v>
      </c>
      <c r="B1103" t="s">
        <v>90</v>
      </c>
      <c r="C1103" t="s">
        <v>104</v>
      </c>
      <c r="D1103" t="s">
        <v>113</v>
      </c>
      <c r="E1103" t="s">
        <v>182</v>
      </c>
      <c r="F1103" t="s">
        <v>26</v>
      </c>
      <c r="G1103" s="2">
        <v>60</v>
      </c>
      <c r="H1103" t="s">
        <v>27</v>
      </c>
      <c r="I1103" t="s">
        <v>181</v>
      </c>
      <c r="J1103" t="s">
        <v>18</v>
      </c>
      <c r="K1103" t="s">
        <v>19</v>
      </c>
    </row>
    <row r="1104" spans="1:11">
      <c r="A1104" s="1">
        <v>45915</v>
      </c>
      <c r="B1104" t="s">
        <v>90</v>
      </c>
      <c r="C1104" t="s">
        <v>104</v>
      </c>
      <c r="D1104" t="s">
        <v>113</v>
      </c>
      <c r="E1104" t="s">
        <v>183</v>
      </c>
      <c r="F1104" t="s">
        <v>26</v>
      </c>
      <c r="G1104" s="2">
        <v>132.5</v>
      </c>
      <c r="H1104" t="s">
        <v>27</v>
      </c>
      <c r="I1104" t="s">
        <v>181</v>
      </c>
      <c r="J1104" t="s">
        <v>18</v>
      </c>
      <c r="K1104" t="s">
        <v>19</v>
      </c>
    </row>
    <row r="1105" spans="1:11">
      <c r="A1105" s="1">
        <v>45915</v>
      </c>
      <c r="B1105" t="s">
        <v>90</v>
      </c>
      <c r="C1105" t="s">
        <v>104</v>
      </c>
      <c r="D1105" t="s">
        <v>113</v>
      </c>
      <c r="E1105" t="s">
        <v>184</v>
      </c>
      <c r="F1105" t="s">
        <v>185</v>
      </c>
      <c r="G1105" s="2">
        <v>275</v>
      </c>
      <c r="H1105" t="s">
        <v>27</v>
      </c>
      <c r="I1105" t="s">
        <v>181</v>
      </c>
      <c r="J1105" t="s">
        <v>18</v>
      </c>
      <c r="K1105" t="s">
        <v>19</v>
      </c>
    </row>
    <row r="1106" spans="1:11">
      <c r="A1106" s="1">
        <v>45915</v>
      </c>
      <c r="B1106" t="s">
        <v>90</v>
      </c>
      <c r="C1106" t="s">
        <v>104</v>
      </c>
      <c r="D1106" t="s">
        <v>113</v>
      </c>
      <c r="E1106" t="s">
        <v>186</v>
      </c>
      <c r="F1106" t="s">
        <v>26</v>
      </c>
      <c r="G1106" s="2">
        <v>150</v>
      </c>
      <c r="H1106" t="s">
        <v>27</v>
      </c>
      <c r="I1106" t="s">
        <v>181</v>
      </c>
      <c r="J1106" t="s">
        <v>18</v>
      </c>
      <c r="K1106" t="s">
        <v>19</v>
      </c>
    </row>
    <row r="1107" spans="1:11">
      <c r="A1107" s="1">
        <v>45915</v>
      </c>
      <c r="B1107" t="s">
        <v>90</v>
      </c>
      <c r="C1107" t="s">
        <v>104</v>
      </c>
      <c r="D1107" t="s">
        <v>118</v>
      </c>
      <c r="E1107" t="s">
        <v>180</v>
      </c>
      <c r="F1107" t="s">
        <v>26</v>
      </c>
      <c r="G1107" s="2">
        <v>80</v>
      </c>
      <c r="H1107" t="s">
        <v>27</v>
      </c>
      <c r="I1107" t="s">
        <v>181</v>
      </c>
      <c r="J1107" t="s">
        <v>18</v>
      </c>
      <c r="K1107" t="s">
        <v>19</v>
      </c>
    </row>
    <row r="1108" spans="1:11">
      <c r="A1108" s="1">
        <v>45915</v>
      </c>
      <c r="B1108" t="s">
        <v>90</v>
      </c>
      <c r="C1108" t="s">
        <v>104</v>
      </c>
      <c r="D1108" t="s">
        <v>118</v>
      </c>
      <c r="E1108" t="s">
        <v>183</v>
      </c>
      <c r="F1108" t="s">
        <v>26</v>
      </c>
      <c r="G1108" s="2">
        <v>106.67</v>
      </c>
      <c r="H1108" t="s">
        <v>27</v>
      </c>
      <c r="I1108" t="s">
        <v>181</v>
      </c>
      <c r="J1108" t="s">
        <v>18</v>
      </c>
      <c r="K1108" t="s">
        <v>19</v>
      </c>
    </row>
    <row r="1109" spans="1:11">
      <c r="A1109" s="1">
        <v>45915</v>
      </c>
      <c r="B1109" t="s">
        <v>90</v>
      </c>
      <c r="C1109" t="s">
        <v>104</v>
      </c>
      <c r="D1109" t="s">
        <v>118</v>
      </c>
      <c r="E1109" t="s">
        <v>184</v>
      </c>
      <c r="F1109" t="s">
        <v>185</v>
      </c>
      <c r="G1109" s="2">
        <v>275</v>
      </c>
      <c r="H1109" t="s">
        <v>27</v>
      </c>
      <c r="I1109" t="s">
        <v>181</v>
      </c>
      <c r="J1109" t="s">
        <v>18</v>
      </c>
      <c r="K1109" t="s">
        <v>19</v>
      </c>
    </row>
    <row r="1110" spans="1:11">
      <c r="A1110" s="1">
        <v>45915</v>
      </c>
      <c r="B1110" t="s">
        <v>90</v>
      </c>
      <c r="C1110" t="s">
        <v>104</v>
      </c>
      <c r="D1110" t="s">
        <v>118</v>
      </c>
      <c r="E1110" t="s">
        <v>186</v>
      </c>
      <c r="F1110" t="s">
        <v>26</v>
      </c>
      <c r="G1110" s="2">
        <v>140</v>
      </c>
      <c r="H1110" t="s">
        <v>27</v>
      </c>
      <c r="I1110" t="s">
        <v>181</v>
      </c>
      <c r="J1110" t="s">
        <v>18</v>
      </c>
      <c r="K1110" t="s">
        <v>19</v>
      </c>
    </row>
    <row r="1111" spans="1:11">
      <c r="A1111" s="1">
        <v>45915</v>
      </c>
      <c r="B1111" t="s">
        <v>90</v>
      </c>
      <c r="C1111" t="s">
        <v>104</v>
      </c>
      <c r="D1111" t="s">
        <v>119</v>
      </c>
      <c r="E1111" t="s">
        <v>180</v>
      </c>
      <c r="F1111" t="s">
        <v>26</v>
      </c>
      <c r="G1111" s="2">
        <v>83.33</v>
      </c>
      <c r="H1111" t="s">
        <v>27</v>
      </c>
      <c r="I1111" t="s">
        <v>181</v>
      </c>
      <c r="J1111" t="s">
        <v>18</v>
      </c>
      <c r="K1111" t="s">
        <v>19</v>
      </c>
    </row>
    <row r="1112" spans="1:11">
      <c r="A1112" s="1">
        <v>45915</v>
      </c>
      <c r="B1112" t="s">
        <v>90</v>
      </c>
      <c r="C1112" t="s">
        <v>104</v>
      </c>
      <c r="D1112" t="s">
        <v>119</v>
      </c>
      <c r="E1112" t="s">
        <v>183</v>
      </c>
      <c r="F1112" t="s">
        <v>26</v>
      </c>
      <c r="G1112" s="2">
        <v>100</v>
      </c>
      <c r="H1112" t="s">
        <v>27</v>
      </c>
      <c r="I1112" t="s">
        <v>181</v>
      </c>
      <c r="J1112" t="s">
        <v>18</v>
      </c>
      <c r="K1112" t="s">
        <v>19</v>
      </c>
    </row>
    <row r="1113" spans="1:11">
      <c r="A1113" s="1">
        <v>45915</v>
      </c>
      <c r="B1113" t="s">
        <v>90</v>
      </c>
      <c r="C1113" t="s">
        <v>104</v>
      </c>
      <c r="D1113" t="s">
        <v>119</v>
      </c>
      <c r="E1113" t="s">
        <v>184</v>
      </c>
      <c r="F1113" t="s">
        <v>185</v>
      </c>
      <c r="G1113" s="2">
        <v>276.67</v>
      </c>
      <c r="H1113" t="s">
        <v>27</v>
      </c>
      <c r="I1113" t="s">
        <v>181</v>
      </c>
      <c r="J1113" t="s">
        <v>18</v>
      </c>
      <c r="K1113" t="s">
        <v>19</v>
      </c>
    </row>
    <row r="1114" spans="1:11">
      <c r="A1114" s="1">
        <v>45915</v>
      </c>
      <c r="B1114" t="s">
        <v>90</v>
      </c>
      <c r="C1114" t="s">
        <v>104</v>
      </c>
      <c r="D1114" t="s">
        <v>119</v>
      </c>
      <c r="E1114" t="s">
        <v>186</v>
      </c>
      <c r="F1114" t="s">
        <v>26</v>
      </c>
      <c r="G1114" s="2">
        <v>130</v>
      </c>
      <c r="H1114" t="s">
        <v>27</v>
      </c>
      <c r="I1114" t="s">
        <v>181</v>
      </c>
      <c r="J1114" t="s">
        <v>18</v>
      </c>
      <c r="K1114" t="s">
        <v>19</v>
      </c>
    </row>
    <row r="1115" spans="1:11">
      <c r="A1115" s="1">
        <v>45915</v>
      </c>
      <c r="B1115" t="s">
        <v>90</v>
      </c>
      <c r="C1115" t="s">
        <v>104</v>
      </c>
      <c r="D1115" t="s">
        <v>120</v>
      </c>
      <c r="E1115" t="s">
        <v>180</v>
      </c>
      <c r="F1115" t="s">
        <v>26</v>
      </c>
      <c r="G1115" s="2">
        <v>83.33</v>
      </c>
      <c r="H1115" t="s">
        <v>27</v>
      </c>
      <c r="I1115" t="s">
        <v>181</v>
      </c>
      <c r="J1115" t="s">
        <v>18</v>
      </c>
      <c r="K1115" t="s">
        <v>19</v>
      </c>
    </row>
    <row r="1116" spans="1:11">
      <c r="A1116" s="1">
        <v>45915</v>
      </c>
      <c r="B1116" t="s">
        <v>90</v>
      </c>
      <c r="C1116" t="s">
        <v>104</v>
      </c>
      <c r="D1116" t="s">
        <v>120</v>
      </c>
      <c r="E1116" t="s">
        <v>182</v>
      </c>
      <c r="F1116" t="s">
        <v>26</v>
      </c>
      <c r="G1116" s="2">
        <v>73.33</v>
      </c>
      <c r="H1116" t="s">
        <v>27</v>
      </c>
      <c r="I1116" t="s">
        <v>181</v>
      </c>
      <c r="J1116" t="s">
        <v>18</v>
      </c>
      <c r="K1116" t="s">
        <v>19</v>
      </c>
    </row>
    <row r="1117" spans="1:11">
      <c r="A1117" s="1">
        <v>45915</v>
      </c>
      <c r="B1117" t="s">
        <v>90</v>
      </c>
      <c r="C1117" t="s">
        <v>104</v>
      </c>
      <c r="D1117" t="s">
        <v>120</v>
      </c>
      <c r="E1117" t="s">
        <v>183</v>
      </c>
      <c r="F1117" t="s">
        <v>26</v>
      </c>
      <c r="G1117" s="2">
        <v>116.67</v>
      </c>
      <c r="H1117" t="s">
        <v>27</v>
      </c>
      <c r="I1117" t="s">
        <v>181</v>
      </c>
      <c r="J1117" t="s">
        <v>18</v>
      </c>
      <c r="K1117" t="s">
        <v>19</v>
      </c>
    </row>
    <row r="1118" spans="1:11">
      <c r="A1118" s="1">
        <v>45915</v>
      </c>
      <c r="B1118" t="s">
        <v>90</v>
      </c>
      <c r="C1118" t="s">
        <v>104</v>
      </c>
      <c r="D1118" t="s">
        <v>120</v>
      </c>
      <c r="E1118" t="s">
        <v>184</v>
      </c>
      <c r="F1118" t="s">
        <v>185</v>
      </c>
      <c r="G1118" s="2">
        <v>283.33</v>
      </c>
      <c r="H1118" t="s">
        <v>27</v>
      </c>
      <c r="I1118" t="s">
        <v>181</v>
      </c>
      <c r="J1118" t="s">
        <v>18</v>
      </c>
      <c r="K1118" t="s">
        <v>19</v>
      </c>
    </row>
    <row r="1119" spans="1:11">
      <c r="A1119" s="1">
        <v>45915</v>
      </c>
      <c r="B1119" t="s">
        <v>90</v>
      </c>
      <c r="C1119" t="s">
        <v>104</v>
      </c>
      <c r="D1119" t="s">
        <v>120</v>
      </c>
      <c r="E1119" t="s">
        <v>186</v>
      </c>
      <c r="F1119" t="s">
        <v>26</v>
      </c>
      <c r="G1119" s="2">
        <v>93.33</v>
      </c>
      <c r="H1119" t="s">
        <v>27</v>
      </c>
      <c r="I1119" t="s">
        <v>181</v>
      </c>
      <c r="J1119" t="s">
        <v>18</v>
      </c>
      <c r="K1119" t="s">
        <v>19</v>
      </c>
    </row>
    <row r="1120" spans="1:11">
      <c r="A1120" s="1">
        <v>45915</v>
      </c>
      <c r="B1120" t="s">
        <v>90</v>
      </c>
      <c r="C1120" t="s">
        <v>104</v>
      </c>
      <c r="D1120" t="s">
        <v>157</v>
      </c>
      <c r="E1120" t="s">
        <v>180</v>
      </c>
      <c r="F1120" t="s">
        <v>26</v>
      </c>
      <c r="G1120" s="2">
        <v>83.33</v>
      </c>
      <c r="H1120" t="s">
        <v>27</v>
      </c>
      <c r="I1120" t="s">
        <v>181</v>
      </c>
      <c r="J1120" t="s">
        <v>18</v>
      </c>
      <c r="K1120" t="s">
        <v>19</v>
      </c>
    </row>
    <row r="1121" spans="1:11">
      <c r="A1121" s="1">
        <v>45915</v>
      </c>
      <c r="B1121" t="s">
        <v>90</v>
      </c>
      <c r="C1121" t="s">
        <v>104</v>
      </c>
      <c r="D1121" t="s">
        <v>157</v>
      </c>
      <c r="E1121" t="s">
        <v>182</v>
      </c>
      <c r="F1121" t="s">
        <v>26</v>
      </c>
      <c r="G1121" s="2">
        <v>56.67</v>
      </c>
      <c r="H1121" t="s">
        <v>27</v>
      </c>
      <c r="I1121" t="s">
        <v>181</v>
      </c>
      <c r="J1121" t="s">
        <v>18</v>
      </c>
      <c r="K1121" t="s">
        <v>19</v>
      </c>
    </row>
    <row r="1122" spans="1:11">
      <c r="A1122" s="1">
        <v>45915</v>
      </c>
      <c r="B1122" t="s">
        <v>90</v>
      </c>
      <c r="C1122" t="s">
        <v>104</v>
      </c>
      <c r="D1122" t="s">
        <v>157</v>
      </c>
      <c r="E1122" t="s">
        <v>183</v>
      </c>
      <c r="F1122" t="s">
        <v>26</v>
      </c>
      <c r="G1122" s="2">
        <v>150</v>
      </c>
      <c r="H1122" t="s">
        <v>27</v>
      </c>
      <c r="I1122" t="s">
        <v>181</v>
      </c>
      <c r="J1122" t="s">
        <v>18</v>
      </c>
      <c r="K1122" t="s">
        <v>19</v>
      </c>
    </row>
    <row r="1123" spans="1:11">
      <c r="A1123" s="1">
        <v>45915</v>
      </c>
      <c r="B1123" t="s">
        <v>90</v>
      </c>
      <c r="C1123" t="s">
        <v>104</v>
      </c>
      <c r="D1123" t="s">
        <v>157</v>
      </c>
      <c r="E1123" t="s">
        <v>25</v>
      </c>
      <c r="F1123" t="s">
        <v>26</v>
      </c>
      <c r="G1123" s="2">
        <v>180</v>
      </c>
      <c r="H1123" t="s">
        <v>27</v>
      </c>
      <c r="I1123" t="s">
        <v>181</v>
      </c>
      <c r="J1123" t="s">
        <v>18</v>
      </c>
      <c r="K1123" t="s">
        <v>19</v>
      </c>
    </row>
    <row r="1124" spans="1:11">
      <c r="A1124" s="1">
        <v>45915</v>
      </c>
      <c r="B1124" t="s">
        <v>90</v>
      </c>
      <c r="C1124" t="s">
        <v>104</v>
      </c>
      <c r="D1124" t="s">
        <v>157</v>
      </c>
      <c r="E1124" t="s">
        <v>184</v>
      </c>
      <c r="F1124" t="s">
        <v>185</v>
      </c>
      <c r="G1124" s="2">
        <v>293.33</v>
      </c>
      <c r="H1124" t="s">
        <v>27</v>
      </c>
      <c r="I1124" t="s">
        <v>181</v>
      </c>
      <c r="J1124" t="s">
        <v>18</v>
      </c>
      <c r="K1124" t="s">
        <v>19</v>
      </c>
    </row>
    <row r="1125" spans="1:11">
      <c r="A1125" s="1">
        <v>45915</v>
      </c>
      <c r="B1125" t="s">
        <v>90</v>
      </c>
      <c r="C1125" t="s">
        <v>104</v>
      </c>
      <c r="D1125" t="s">
        <v>157</v>
      </c>
      <c r="E1125" t="s">
        <v>186</v>
      </c>
      <c r="F1125" t="s">
        <v>26</v>
      </c>
      <c r="G1125" s="2">
        <v>146.67</v>
      </c>
      <c r="H1125" t="s">
        <v>27</v>
      </c>
      <c r="I1125" t="s">
        <v>181</v>
      </c>
      <c r="J1125" t="s">
        <v>18</v>
      </c>
      <c r="K1125" t="s">
        <v>19</v>
      </c>
    </row>
    <row r="1126" spans="1:11">
      <c r="A1126" s="1">
        <v>45945</v>
      </c>
      <c r="B1126" t="s">
        <v>63</v>
      </c>
      <c r="C1126" t="s">
        <v>64</v>
      </c>
      <c r="D1126" t="s">
        <v>68</v>
      </c>
      <c r="E1126" t="s">
        <v>180</v>
      </c>
      <c r="F1126" t="s">
        <v>26</v>
      </c>
      <c r="G1126" s="2">
        <v>89.15000000000001</v>
      </c>
      <c r="H1126" t="s">
        <v>27</v>
      </c>
      <c r="I1126" t="s">
        <v>181</v>
      </c>
      <c r="J1126" t="s">
        <v>18</v>
      </c>
      <c r="K1126" t="s">
        <v>19</v>
      </c>
    </row>
    <row r="1127" spans="1:11">
      <c r="A1127" s="1">
        <v>45945</v>
      </c>
      <c r="B1127" t="s">
        <v>63</v>
      </c>
      <c r="C1127" t="s">
        <v>64</v>
      </c>
      <c r="D1127" t="s">
        <v>68</v>
      </c>
      <c r="E1127" t="s">
        <v>182</v>
      </c>
      <c r="F1127" t="s">
        <v>26</v>
      </c>
      <c r="G1127" s="2">
        <v>57.87</v>
      </c>
      <c r="H1127" t="s">
        <v>27</v>
      </c>
      <c r="I1127" t="s">
        <v>181</v>
      </c>
      <c r="J1127" t="s">
        <v>18</v>
      </c>
      <c r="K1127" t="s">
        <v>19</v>
      </c>
    </row>
    <row r="1128" spans="1:11">
      <c r="A1128" s="1">
        <v>45945</v>
      </c>
      <c r="B1128" t="s">
        <v>63</v>
      </c>
      <c r="C1128" t="s">
        <v>64</v>
      </c>
      <c r="D1128" t="s">
        <v>68</v>
      </c>
      <c r="E1128" t="s">
        <v>183</v>
      </c>
      <c r="F1128" t="s">
        <v>26</v>
      </c>
      <c r="G1128" s="2">
        <v>108.34</v>
      </c>
      <c r="H1128" t="s">
        <v>27</v>
      </c>
      <c r="I1128" t="s">
        <v>181</v>
      </c>
      <c r="J1128" t="s">
        <v>18</v>
      </c>
      <c r="K1128" t="s">
        <v>19</v>
      </c>
    </row>
    <row r="1129" spans="1:11">
      <c r="A1129" s="1">
        <v>45945</v>
      </c>
      <c r="B1129" t="s">
        <v>63</v>
      </c>
      <c r="C1129" t="s">
        <v>64</v>
      </c>
      <c r="D1129" t="s">
        <v>68</v>
      </c>
      <c r="E1129" t="s">
        <v>187</v>
      </c>
      <c r="F1129" t="s">
        <v>185</v>
      </c>
      <c r="G1129" s="2">
        <v>187.37</v>
      </c>
      <c r="H1129" t="s">
        <v>27</v>
      </c>
      <c r="I1129" t="s">
        <v>181</v>
      </c>
      <c r="J1129" t="s">
        <v>18</v>
      </c>
      <c r="K1129" t="s">
        <v>19</v>
      </c>
    </row>
    <row r="1130" spans="1:11">
      <c r="A1130" s="1">
        <v>45945</v>
      </c>
      <c r="B1130" t="s">
        <v>63</v>
      </c>
      <c r="C1130" t="s">
        <v>64</v>
      </c>
      <c r="D1130" t="s">
        <v>68</v>
      </c>
      <c r="E1130" t="s">
        <v>25</v>
      </c>
      <c r="F1130" t="s">
        <v>26</v>
      </c>
      <c r="G1130" s="2">
        <v>117.29</v>
      </c>
      <c r="H1130" t="s">
        <v>27</v>
      </c>
      <c r="I1130" t="s">
        <v>181</v>
      </c>
      <c r="J1130" t="s">
        <v>18</v>
      </c>
      <c r="K1130" t="s">
        <v>19</v>
      </c>
    </row>
    <row r="1131" spans="1:11">
      <c r="A1131" s="1">
        <v>45945</v>
      </c>
      <c r="B1131" t="s">
        <v>63</v>
      </c>
      <c r="C1131" t="s">
        <v>64</v>
      </c>
      <c r="D1131" t="s">
        <v>68</v>
      </c>
      <c r="E1131" t="s">
        <v>184</v>
      </c>
      <c r="F1131" t="s">
        <v>185</v>
      </c>
      <c r="G1131" s="2">
        <v>253.65</v>
      </c>
      <c r="H1131" t="s">
        <v>27</v>
      </c>
      <c r="I1131" t="s">
        <v>181</v>
      </c>
      <c r="J1131" t="s">
        <v>18</v>
      </c>
      <c r="K1131" t="s">
        <v>19</v>
      </c>
    </row>
    <row r="1132" spans="1:11">
      <c r="A1132" s="1">
        <v>45945</v>
      </c>
      <c r="B1132" t="s">
        <v>63</v>
      </c>
      <c r="C1132" t="s">
        <v>64</v>
      </c>
      <c r="D1132" t="s">
        <v>68</v>
      </c>
      <c r="E1132" t="s">
        <v>186</v>
      </c>
      <c r="F1132" t="s">
        <v>26</v>
      </c>
      <c r="G1132" s="2">
        <v>118.19</v>
      </c>
      <c r="H1132" t="s">
        <v>27</v>
      </c>
      <c r="I1132" t="s">
        <v>181</v>
      </c>
      <c r="J1132" t="s">
        <v>18</v>
      </c>
      <c r="K1132" t="s">
        <v>19</v>
      </c>
    </row>
    <row r="1133" spans="1:11">
      <c r="A1133" s="1">
        <v>45945</v>
      </c>
      <c r="B1133" t="s">
        <v>63</v>
      </c>
      <c r="C1133" t="s">
        <v>64</v>
      </c>
      <c r="D1133" t="s">
        <v>71</v>
      </c>
      <c r="E1133" t="s">
        <v>180</v>
      </c>
      <c r="F1133" t="s">
        <v>26</v>
      </c>
      <c r="G1133" s="2">
        <v>92.40000000000001</v>
      </c>
      <c r="H1133" t="s">
        <v>27</v>
      </c>
      <c r="I1133" t="s">
        <v>181</v>
      </c>
      <c r="J1133" t="s">
        <v>18</v>
      </c>
      <c r="K1133" t="s">
        <v>19</v>
      </c>
    </row>
    <row r="1134" spans="1:11">
      <c r="A1134" s="1">
        <v>45945</v>
      </c>
      <c r="B1134" t="s">
        <v>63</v>
      </c>
      <c r="C1134" t="s">
        <v>64</v>
      </c>
      <c r="D1134" t="s">
        <v>71</v>
      </c>
      <c r="E1134" t="s">
        <v>182</v>
      </c>
      <c r="F1134" t="s">
        <v>26</v>
      </c>
      <c r="G1134" s="2">
        <v>63.21</v>
      </c>
      <c r="H1134" t="s">
        <v>27</v>
      </c>
      <c r="I1134" t="s">
        <v>181</v>
      </c>
      <c r="J1134" t="s">
        <v>18</v>
      </c>
      <c r="K1134" t="s">
        <v>19</v>
      </c>
    </row>
    <row r="1135" spans="1:11">
      <c r="A1135" s="1">
        <v>45945</v>
      </c>
      <c r="B1135" t="s">
        <v>63</v>
      </c>
      <c r="C1135" t="s">
        <v>64</v>
      </c>
      <c r="D1135" t="s">
        <v>71</v>
      </c>
      <c r="E1135" t="s">
        <v>183</v>
      </c>
      <c r="F1135" t="s">
        <v>26</v>
      </c>
      <c r="G1135" s="2">
        <v>105.42</v>
      </c>
      <c r="H1135" t="s">
        <v>27</v>
      </c>
      <c r="I1135" t="s">
        <v>181</v>
      </c>
      <c r="J1135" t="s">
        <v>18</v>
      </c>
      <c r="K1135" t="s">
        <v>19</v>
      </c>
    </row>
    <row r="1136" spans="1:11">
      <c r="A1136" s="1">
        <v>45945</v>
      </c>
      <c r="B1136" t="s">
        <v>63</v>
      </c>
      <c r="C1136" t="s">
        <v>64</v>
      </c>
      <c r="D1136" t="s">
        <v>71</v>
      </c>
      <c r="E1136" t="s">
        <v>187</v>
      </c>
      <c r="F1136" t="s">
        <v>185</v>
      </c>
      <c r="G1136" s="2">
        <v>167.5</v>
      </c>
      <c r="H1136" t="s">
        <v>27</v>
      </c>
      <c r="I1136" t="s">
        <v>181</v>
      </c>
      <c r="J1136" t="s">
        <v>18</v>
      </c>
      <c r="K1136" t="s">
        <v>19</v>
      </c>
    </row>
    <row r="1137" spans="1:11">
      <c r="A1137" s="1">
        <v>45945</v>
      </c>
      <c r="B1137" t="s">
        <v>63</v>
      </c>
      <c r="C1137" t="s">
        <v>64</v>
      </c>
      <c r="D1137" t="s">
        <v>71</v>
      </c>
      <c r="E1137" t="s">
        <v>25</v>
      </c>
      <c r="F1137" t="s">
        <v>26</v>
      </c>
      <c r="G1137" s="2">
        <v>120.36</v>
      </c>
      <c r="H1137" t="s">
        <v>27</v>
      </c>
      <c r="I1137" t="s">
        <v>181</v>
      </c>
      <c r="J1137" t="s">
        <v>18</v>
      </c>
      <c r="K1137" t="s">
        <v>19</v>
      </c>
    </row>
    <row r="1138" spans="1:11">
      <c r="A1138" s="1">
        <v>45945</v>
      </c>
      <c r="B1138" t="s">
        <v>63</v>
      </c>
      <c r="C1138" t="s">
        <v>64</v>
      </c>
      <c r="D1138" t="s">
        <v>71</v>
      </c>
      <c r="E1138" t="s">
        <v>184</v>
      </c>
      <c r="F1138" t="s">
        <v>185</v>
      </c>
      <c r="G1138" s="2">
        <v>269.09</v>
      </c>
      <c r="H1138" t="s">
        <v>27</v>
      </c>
      <c r="I1138" t="s">
        <v>181</v>
      </c>
      <c r="J1138" t="s">
        <v>18</v>
      </c>
      <c r="K1138" t="s">
        <v>19</v>
      </c>
    </row>
    <row r="1139" spans="1:11">
      <c r="A1139" s="1">
        <v>45945</v>
      </c>
      <c r="B1139" t="s">
        <v>63</v>
      </c>
      <c r="C1139" t="s">
        <v>64</v>
      </c>
      <c r="D1139" t="s">
        <v>71</v>
      </c>
      <c r="E1139" t="s">
        <v>186</v>
      </c>
      <c r="F1139" t="s">
        <v>26</v>
      </c>
      <c r="G1139" s="2">
        <v>110.64</v>
      </c>
      <c r="H1139" t="s">
        <v>27</v>
      </c>
      <c r="I1139" t="s">
        <v>181</v>
      </c>
      <c r="J1139" t="s">
        <v>18</v>
      </c>
      <c r="K1139" t="s">
        <v>19</v>
      </c>
    </row>
    <row r="1140" spans="1:11">
      <c r="A1140" s="1">
        <v>45945</v>
      </c>
      <c r="B1140" t="s">
        <v>63</v>
      </c>
      <c r="C1140" t="s">
        <v>64</v>
      </c>
      <c r="D1140" t="s">
        <v>72</v>
      </c>
      <c r="E1140" t="s">
        <v>180</v>
      </c>
      <c r="F1140" t="s">
        <v>26</v>
      </c>
      <c r="G1140" s="2">
        <v>101.06</v>
      </c>
      <c r="H1140" t="s">
        <v>27</v>
      </c>
      <c r="I1140" t="s">
        <v>181</v>
      </c>
      <c r="J1140" t="s">
        <v>18</v>
      </c>
      <c r="K1140" t="s">
        <v>19</v>
      </c>
    </row>
    <row r="1141" spans="1:11">
      <c r="A1141" s="1">
        <v>45945</v>
      </c>
      <c r="B1141" t="s">
        <v>63</v>
      </c>
      <c r="C1141" t="s">
        <v>64</v>
      </c>
      <c r="D1141" t="s">
        <v>72</v>
      </c>
      <c r="E1141" t="s">
        <v>182</v>
      </c>
      <c r="F1141" t="s">
        <v>26</v>
      </c>
      <c r="G1141" s="2">
        <v>57.58</v>
      </c>
      <c r="H1141" t="s">
        <v>27</v>
      </c>
      <c r="I1141" t="s">
        <v>181</v>
      </c>
      <c r="J1141" t="s">
        <v>18</v>
      </c>
      <c r="K1141" t="s">
        <v>19</v>
      </c>
    </row>
    <row r="1142" spans="1:11">
      <c r="A1142" s="1">
        <v>45945</v>
      </c>
      <c r="B1142" t="s">
        <v>63</v>
      </c>
      <c r="C1142" t="s">
        <v>64</v>
      </c>
      <c r="D1142" t="s">
        <v>72</v>
      </c>
      <c r="E1142" t="s">
        <v>183</v>
      </c>
      <c r="F1142" t="s">
        <v>26</v>
      </c>
      <c r="G1142" s="2">
        <v>111.65</v>
      </c>
      <c r="H1142" t="s">
        <v>27</v>
      </c>
      <c r="I1142" t="s">
        <v>181</v>
      </c>
      <c r="J1142" t="s">
        <v>18</v>
      </c>
      <c r="K1142" t="s">
        <v>19</v>
      </c>
    </row>
    <row r="1143" spans="1:11">
      <c r="A1143" s="1">
        <v>45945</v>
      </c>
      <c r="B1143" t="s">
        <v>63</v>
      </c>
      <c r="C1143" t="s">
        <v>64</v>
      </c>
      <c r="D1143" t="s">
        <v>72</v>
      </c>
      <c r="E1143" t="s">
        <v>187</v>
      </c>
      <c r="F1143" t="s">
        <v>185</v>
      </c>
      <c r="G1143" s="2">
        <v>150</v>
      </c>
      <c r="H1143" t="s">
        <v>27</v>
      </c>
      <c r="I1143" t="s">
        <v>181</v>
      </c>
      <c r="J1143" t="s">
        <v>18</v>
      </c>
      <c r="K1143" t="s">
        <v>19</v>
      </c>
    </row>
    <row r="1144" spans="1:11">
      <c r="A1144" s="1">
        <v>45945</v>
      </c>
      <c r="B1144" t="s">
        <v>63</v>
      </c>
      <c r="C1144" t="s">
        <v>64</v>
      </c>
      <c r="D1144" t="s">
        <v>72</v>
      </c>
      <c r="E1144" t="s">
        <v>25</v>
      </c>
      <c r="F1144" t="s">
        <v>26</v>
      </c>
      <c r="G1144" s="2">
        <v>120.07</v>
      </c>
      <c r="H1144" t="s">
        <v>27</v>
      </c>
      <c r="I1144" t="s">
        <v>181</v>
      </c>
      <c r="J1144" t="s">
        <v>18</v>
      </c>
      <c r="K1144" t="s">
        <v>19</v>
      </c>
    </row>
    <row r="1145" spans="1:11">
      <c r="A1145" s="1">
        <v>45945</v>
      </c>
      <c r="B1145" t="s">
        <v>63</v>
      </c>
      <c r="C1145" t="s">
        <v>64</v>
      </c>
      <c r="D1145" t="s">
        <v>72</v>
      </c>
      <c r="E1145" t="s">
        <v>184</v>
      </c>
      <c r="F1145" t="s">
        <v>185</v>
      </c>
      <c r="G1145" s="2">
        <v>260.84</v>
      </c>
      <c r="H1145" t="s">
        <v>27</v>
      </c>
      <c r="I1145" t="s">
        <v>181</v>
      </c>
      <c r="J1145" t="s">
        <v>18</v>
      </c>
      <c r="K1145" t="s">
        <v>19</v>
      </c>
    </row>
    <row r="1146" spans="1:11">
      <c r="A1146" s="1">
        <v>45945</v>
      </c>
      <c r="B1146" t="s">
        <v>63</v>
      </c>
      <c r="C1146" t="s">
        <v>64</v>
      </c>
      <c r="D1146" t="s">
        <v>72</v>
      </c>
      <c r="E1146" t="s">
        <v>186</v>
      </c>
      <c r="F1146" t="s">
        <v>26</v>
      </c>
      <c r="G1146" s="2">
        <v>119.13</v>
      </c>
      <c r="H1146" t="s">
        <v>27</v>
      </c>
      <c r="I1146" t="s">
        <v>181</v>
      </c>
      <c r="J1146" t="s">
        <v>18</v>
      </c>
      <c r="K1146" t="s">
        <v>19</v>
      </c>
    </row>
    <row r="1147" spans="1:11">
      <c r="A1147" s="1">
        <v>45945</v>
      </c>
      <c r="B1147" t="s">
        <v>90</v>
      </c>
      <c r="C1147" t="s">
        <v>104</v>
      </c>
      <c r="D1147" t="s">
        <v>108</v>
      </c>
      <c r="E1147" t="s">
        <v>180</v>
      </c>
      <c r="F1147" t="s">
        <v>26</v>
      </c>
      <c r="G1147" s="2">
        <v>82.5</v>
      </c>
      <c r="H1147" t="s">
        <v>27</v>
      </c>
      <c r="I1147" t="s">
        <v>181</v>
      </c>
      <c r="J1147" t="s">
        <v>18</v>
      </c>
      <c r="K1147" t="s">
        <v>19</v>
      </c>
    </row>
    <row r="1148" spans="1:11">
      <c r="A1148" s="1">
        <v>45945</v>
      </c>
      <c r="B1148" t="s">
        <v>90</v>
      </c>
      <c r="C1148" t="s">
        <v>104</v>
      </c>
      <c r="D1148" t="s">
        <v>108</v>
      </c>
      <c r="E1148" t="s">
        <v>182</v>
      </c>
      <c r="F1148" t="s">
        <v>26</v>
      </c>
      <c r="G1148" s="2">
        <v>73.33</v>
      </c>
      <c r="H1148" t="s">
        <v>27</v>
      </c>
      <c r="I1148" t="s">
        <v>181</v>
      </c>
      <c r="J1148" t="s">
        <v>18</v>
      </c>
      <c r="K1148" t="s">
        <v>19</v>
      </c>
    </row>
    <row r="1149" spans="1:11">
      <c r="A1149" s="1">
        <v>45945</v>
      </c>
      <c r="B1149" t="s">
        <v>90</v>
      </c>
      <c r="C1149" t="s">
        <v>104</v>
      </c>
      <c r="D1149" t="s">
        <v>108</v>
      </c>
      <c r="E1149" t="s">
        <v>183</v>
      </c>
      <c r="F1149" t="s">
        <v>26</v>
      </c>
      <c r="G1149" s="2">
        <v>116</v>
      </c>
      <c r="H1149" t="s">
        <v>27</v>
      </c>
      <c r="I1149" t="s">
        <v>181</v>
      </c>
      <c r="J1149" t="s">
        <v>18</v>
      </c>
      <c r="K1149" t="s">
        <v>19</v>
      </c>
    </row>
    <row r="1150" spans="1:11">
      <c r="A1150" s="1">
        <v>45945</v>
      </c>
      <c r="B1150" t="s">
        <v>90</v>
      </c>
      <c r="C1150" t="s">
        <v>104</v>
      </c>
      <c r="D1150" t="s">
        <v>108</v>
      </c>
      <c r="E1150" t="s">
        <v>25</v>
      </c>
      <c r="F1150" t="s">
        <v>26</v>
      </c>
      <c r="G1150" s="2">
        <v>172.5</v>
      </c>
      <c r="H1150" t="s">
        <v>27</v>
      </c>
      <c r="I1150" t="s">
        <v>181</v>
      </c>
      <c r="J1150" t="s">
        <v>18</v>
      </c>
      <c r="K1150" t="s">
        <v>19</v>
      </c>
    </row>
    <row r="1151" spans="1:11">
      <c r="A1151" s="1">
        <v>45945</v>
      </c>
      <c r="B1151" t="s">
        <v>90</v>
      </c>
      <c r="C1151" t="s">
        <v>104</v>
      </c>
      <c r="D1151" t="s">
        <v>108</v>
      </c>
      <c r="E1151" t="s">
        <v>184</v>
      </c>
      <c r="F1151" t="s">
        <v>185</v>
      </c>
      <c r="G1151" s="2">
        <v>291.67</v>
      </c>
      <c r="H1151" t="s">
        <v>27</v>
      </c>
      <c r="I1151" t="s">
        <v>181</v>
      </c>
      <c r="J1151" t="s">
        <v>18</v>
      </c>
      <c r="K1151" t="s">
        <v>19</v>
      </c>
    </row>
    <row r="1152" spans="1:11">
      <c r="A1152" s="1">
        <v>45945</v>
      </c>
      <c r="B1152" t="s">
        <v>90</v>
      </c>
      <c r="C1152" t="s">
        <v>104</v>
      </c>
      <c r="D1152" t="s">
        <v>108</v>
      </c>
      <c r="E1152" t="s">
        <v>186</v>
      </c>
      <c r="F1152" t="s">
        <v>26</v>
      </c>
      <c r="G1152" s="2">
        <v>125</v>
      </c>
      <c r="H1152" t="s">
        <v>27</v>
      </c>
      <c r="I1152" t="s">
        <v>181</v>
      </c>
      <c r="J1152" t="s">
        <v>18</v>
      </c>
      <c r="K1152" t="s">
        <v>19</v>
      </c>
    </row>
    <row r="1153" spans="1:11">
      <c r="A1153" s="1">
        <v>45945</v>
      </c>
      <c r="B1153" t="s">
        <v>90</v>
      </c>
      <c r="C1153" t="s">
        <v>104</v>
      </c>
      <c r="D1153" t="s">
        <v>109</v>
      </c>
      <c r="E1153" t="s">
        <v>180</v>
      </c>
      <c r="F1153" t="s">
        <v>26</v>
      </c>
      <c r="G1153" s="2">
        <v>83.33</v>
      </c>
      <c r="H1153" t="s">
        <v>27</v>
      </c>
      <c r="I1153" t="s">
        <v>181</v>
      </c>
      <c r="J1153" t="s">
        <v>18</v>
      </c>
      <c r="K1153" t="s">
        <v>19</v>
      </c>
    </row>
    <row r="1154" spans="1:11">
      <c r="A1154" s="1">
        <v>45945</v>
      </c>
      <c r="B1154" t="s">
        <v>90</v>
      </c>
      <c r="C1154" t="s">
        <v>104</v>
      </c>
      <c r="D1154" t="s">
        <v>109</v>
      </c>
      <c r="E1154" t="s">
        <v>182</v>
      </c>
      <c r="F1154" t="s">
        <v>26</v>
      </c>
      <c r="G1154" s="2">
        <v>90</v>
      </c>
      <c r="H1154" t="s">
        <v>27</v>
      </c>
      <c r="I1154" t="s">
        <v>181</v>
      </c>
      <c r="J1154" t="s">
        <v>18</v>
      </c>
      <c r="K1154" t="s">
        <v>19</v>
      </c>
    </row>
    <row r="1155" spans="1:11">
      <c r="A1155" s="1">
        <v>45945</v>
      </c>
      <c r="B1155" t="s">
        <v>90</v>
      </c>
      <c r="C1155" t="s">
        <v>104</v>
      </c>
      <c r="D1155" t="s">
        <v>109</v>
      </c>
      <c r="E1155" t="s">
        <v>183</v>
      </c>
      <c r="F1155" t="s">
        <v>26</v>
      </c>
      <c r="G1155" s="2">
        <v>123.33</v>
      </c>
      <c r="H1155" t="s">
        <v>27</v>
      </c>
      <c r="I1155" t="s">
        <v>181</v>
      </c>
      <c r="J1155" t="s">
        <v>18</v>
      </c>
      <c r="K1155" t="s">
        <v>19</v>
      </c>
    </row>
    <row r="1156" spans="1:11">
      <c r="A1156" s="1">
        <v>45945</v>
      </c>
      <c r="B1156" t="s">
        <v>90</v>
      </c>
      <c r="C1156" t="s">
        <v>104</v>
      </c>
      <c r="D1156" t="s">
        <v>109</v>
      </c>
      <c r="E1156" t="s">
        <v>25</v>
      </c>
      <c r="F1156" t="s">
        <v>26</v>
      </c>
      <c r="G1156" s="2">
        <v>183.33</v>
      </c>
      <c r="H1156" t="s">
        <v>27</v>
      </c>
      <c r="I1156" t="s">
        <v>181</v>
      </c>
      <c r="J1156" t="s">
        <v>18</v>
      </c>
      <c r="K1156" t="s">
        <v>19</v>
      </c>
    </row>
    <row r="1157" spans="1:11">
      <c r="A1157" s="1">
        <v>45945</v>
      </c>
      <c r="B1157" t="s">
        <v>90</v>
      </c>
      <c r="C1157" t="s">
        <v>104</v>
      </c>
      <c r="D1157" t="s">
        <v>109</v>
      </c>
      <c r="E1157" t="s">
        <v>186</v>
      </c>
      <c r="F1157" t="s">
        <v>26</v>
      </c>
      <c r="G1157" s="2">
        <v>140</v>
      </c>
      <c r="H1157" t="s">
        <v>27</v>
      </c>
      <c r="I1157" t="s">
        <v>181</v>
      </c>
      <c r="J1157" t="s">
        <v>18</v>
      </c>
      <c r="K1157" t="s">
        <v>19</v>
      </c>
    </row>
    <row r="1158" spans="1:11">
      <c r="A1158" s="1">
        <v>45945</v>
      </c>
      <c r="B1158" t="s">
        <v>90</v>
      </c>
      <c r="C1158" t="s">
        <v>104</v>
      </c>
      <c r="D1158" t="s">
        <v>112</v>
      </c>
      <c r="E1158" t="s">
        <v>180</v>
      </c>
      <c r="F1158" t="s">
        <v>26</v>
      </c>
      <c r="G1158" s="2">
        <v>80</v>
      </c>
      <c r="H1158" t="s">
        <v>27</v>
      </c>
      <c r="I1158" t="s">
        <v>181</v>
      </c>
      <c r="J1158" t="s">
        <v>18</v>
      </c>
      <c r="K1158" t="s">
        <v>19</v>
      </c>
    </row>
    <row r="1159" spans="1:11">
      <c r="A1159" s="1">
        <v>45945</v>
      </c>
      <c r="B1159" t="s">
        <v>90</v>
      </c>
      <c r="C1159" t="s">
        <v>104</v>
      </c>
      <c r="D1159" t="s">
        <v>112</v>
      </c>
      <c r="E1159" t="s">
        <v>182</v>
      </c>
      <c r="F1159" t="s">
        <v>26</v>
      </c>
      <c r="G1159" s="2">
        <v>72</v>
      </c>
      <c r="H1159" t="s">
        <v>27</v>
      </c>
      <c r="I1159" t="s">
        <v>181</v>
      </c>
      <c r="J1159" t="s">
        <v>18</v>
      </c>
      <c r="K1159" t="s">
        <v>19</v>
      </c>
    </row>
    <row r="1160" spans="1:11">
      <c r="A1160" s="1">
        <v>45945</v>
      </c>
      <c r="B1160" t="s">
        <v>90</v>
      </c>
      <c r="C1160" t="s">
        <v>104</v>
      </c>
      <c r="D1160" t="s">
        <v>112</v>
      </c>
      <c r="E1160" t="s">
        <v>183</v>
      </c>
      <c r="F1160" t="s">
        <v>26</v>
      </c>
      <c r="G1160" s="2">
        <v>105</v>
      </c>
      <c r="H1160" t="s">
        <v>27</v>
      </c>
      <c r="I1160" t="s">
        <v>181</v>
      </c>
      <c r="J1160" t="s">
        <v>18</v>
      </c>
      <c r="K1160" t="s">
        <v>19</v>
      </c>
    </row>
    <row r="1161" spans="1:11">
      <c r="A1161" s="1">
        <v>45945</v>
      </c>
      <c r="B1161" t="s">
        <v>90</v>
      </c>
      <c r="C1161" t="s">
        <v>104</v>
      </c>
      <c r="D1161" t="s">
        <v>112</v>
      </c>
      <c r="E1161" t="s">
        <v>25</v>
      </c>
      <c r="F1161" t="s">
        <v>26</v>
      </c>
      <c r="G1161" s="2">
        <v>160</v>
      </c>
      <c r="H1161" t="s">
        <v>27</v>
      </c>
      <c r="I1161" t="s">
        <v>181</v>
      </c>
      <c r="J1161" t="s">
        <v>18</v>
      </c>
      <c r="K1161" t="s">
        <v>19</v>
      </c>
    </row>
    <row r="1162" spans="1:11">
      <c r="A1162" s="1">
        <v>45945</v>
      </c>
      <c r="B1162" t="s">
        <v>90</v>
      </c>
      <c r="C1162" t="s">
        <v>104</v>
      </c>
      <c r="D1162" t="s">
        <v>112</v>
      </c>
      <c r="E1162" t="s">
        <v>184</v>
      </c>
      <c r="F1162" t="s">
        <v>185</v>
      </c>
      <c r="G1162" s="2">
        <v>270</v>
      </c>
      <c r="H1162" t="s">
        <v>27</v>
      </c>
      <c r="I1162" t="s">
        <v>181</v>
      </c>
      <c r="J1162" t="s">
        <v>18</v>
      </c>
      <c r="K1162" t="s">
        <v>19</v>
      </c>
    </row>
    <row r="1163" spans="1:11">
      <c r="A1163" s="1">
        <v>45945</v>
      </c>
      <c r="B1163" t="s">
        <v>90</v>
      </c>
      <c r="C1163" t="s">
        <v>104</v>
      </c>
      <c r="D1163" t="s">
        <v>112</v>
      </c>
      <c r="E1163" t="s">
        <v>186</v>
      </c>
      <c r="F1163" t="s">
        <v>26</v>
      </c>
      <c r="G1163" s="2">
        <v>116</v>
      </c>
      <c r="H1163" t="s">
        <v>27</v>
      </c>
      <c r="I1163" t="s">
        <v>181</v>
      </c>
      <c r="J1163" t="s">
        <v>18</v>
      </c>
      <c r="K1163" t="s">
        <v>19</v>
      </c>
    </row>
    <row r="1164" spans="1:11">
      <c r="A1164" s="1">
        <v>45945</v>
      </c>
      <c r="B1164" t="s">
        <v>90</v>
      </c>
      <c r="C1164" t="s">
        <v>104</v>
      </c>
      <c r="D1164" t="s">
        <v>113</v>
      </c>
      <c r="E1164" t="s">
        <v>180</v>
      </c>
      <c r="F1164" t="s">
        <v>26</v>
      </c>
      <c r="G1164" s="2">
        <v>80</v>
      </c>
      <c r="H1164" t="s">
        <v>27</v>
      </c>
      <c r="I1164" t="s">
        <v>181</v>
      </c>
      <c r="J1164" t="s">
        <v>18</v>
      </c>
      <c r="K1164" t="s">
        <v>19</v>
      </c>
    </row>
    <row r="1165" spans="1:11">
      <c r="A1165" s="1">
        <v>45945</v>
      </c>
      <c r="B1165" t="s">
        <v>90</v>
      </c>
      <c r="C1165" t="s">
        <v>104</v>
      </c>
      <c r="D1165" t="s">
        <v>113</v>
      </c>
      <c r="E1165" t="s">
        <v>182</v>
      </c>
      <c r="F1165" t="s">
        <v>26</v>
      </c>
      <c r="G1165" s="2">
        <v>80</v>
      </c>
      <c r="H1165" t="s">
        <v>27</v>
      </c>
      <c r="I1165" t="s">
        <v>181</v>
      </c>
      <c r="J1165" t="s">
        <v>18</v>
      </c>
      <c r="K1165" t="s">
        <v>19</v>
      </c>
    </row>
    <row r="1166" spans="1:11">
      <c r="A1166" s="1">
        <v>45945</v>
      </c>
      <c r="B1166" t="s">
        <v>90</v>
      </c>
      <c r="C1166" t="s">
        <v>104</v>
      </c>
      <c r="D1166" t="s">
        <v>113</v>
      </c>
      <c r="E1166" t="s">
        <v>183</v>
      </c>
      <c r="F1166" t="s">
        <v>26</v>
      </c>
      <c r="G1166" s="2">
        <v>133.33</v>
      </c>
      <c r="H1166" t="s">
        <v>27</v>
      </c>
      <c r="I1166" t="s">
        <v>181</v>
      </c>
      <c r="J1166" t="s">
        <v>18</v>
      </c>
      <c r="K1166" t="s">
        <v>19</v>
      </c>
    </row>
    <row r="1167" spans="1:11">
      <c r="A1167" s="1">
        <v>45945</v>
      </c>
      <c r="B1167" t="s">
        <v>90</v>
      </c>
      <c r="C1167" t="s">
        <v>104</v>
      </c>
      <c r="D1167" t="s">
        <v>113</v>
      </c>
      <c r="E1167" t="s">
        <v>25</v>
      </c>
      <c r="F1167" t="s">
        <v>26</v>
      </c>
      <c r="G1167" s="2">
        <v>160</v>
      </c>
      <c r="H1167" t="s">
        <v>27</v>
      </c>
      <c r="I1167" t="s">
        <v>181</v>
      </c>
      <c r="J1167" t="s">
        <v>18</v>
      </c>
      <c r="K1167" t="s">
        <v>19</v>
      </c>
    </row>
    <row r="1168" spans="1:11">
      <c r="A1168" s="1">
        <v>45945</v>
      </c>
      <c r="B1168" t="s">
        <v>90</v>
      </c>
      <c r="C1168" t="s">
        <v>104</v>
      </c>
      <c r="D1168" t="s">
        <v>113</v>
      </c>
      <c r="E1168" t="s">
        <v>184</v>
      </c>
      <c r="F1168" t="s">
        <v>185</v>
      </c>
      <c r="G1168" s="2">
        <v>263.33</v>
      </c>
      <c r="H1168" t="s">
        <v>27</v>
      </c>
      <c r="I1168" t="s">
        <v>181</v>
      </c>
      <c r="J1168" t="s">
        <v>18</v>
      </c>
      <c r="K1168" t="s">
        <v>19</v>
      </c>
    </row>
    <row r="1169" spans="1:11">
      <c r="A1169" s="1">
        <v>45945</v>
      </c>
      <c r="B1169" t="s">
        <v>90</v>
      </c>
      <c r="C1169" t="s">
        <v>104</v>
      </c>
      <c r="D1169" t="s">
        <v>113</v>
      </c>
      <c r="E1169" t="s">
        <v>186</v>
      </c>
      <c r="F1169" t="s">
        <v>26</v>
      </c>
      <c r="G1169" s="2">
        <v>135</v>
      </c>
      <c r="H1169" t="s">
        <v>27</v>
      </c>
      <c r="I1169" t="s">
        <v>181</v>
      </c>
      <c r="J1169" t="s">
        <v>18</v>
      </c>
      <c r="K1169" t="s">
        <v>19</v>
      </c>
    </row>
    <row r="1170" spans="1:11">
      <c r="A1170" s="1">
        <v>45945</v>
      </c>
      <c r="B1170" t="s">
        <v>90</v>
      </c>
      <c r="C1170" t="s">
        <v>104</v>
      </c>
      <c r="D1170" t="s">
        <v>114</v>
      </c>
      <c r="E1170" t="s">
        <v>180</v>
      </c>
      <c r="F1170" t="s">
        <v>26</v>
      </c>
      <c r="G1170" s="2">
        <v>74</v>
      </c>
      <c r="H1170" t="s">
        <v>27</v>
      </c>
      <c r="I1170" t="s">
        <v>181</v>
      </c>
      <c r="J1170" t="s">
        <v>18</v>
      </c>
      <c r="K1170" t="s">
        <v>19</v>
      </c>
    </row>
    <row r="1171" spans="1:11">
      <c r="A1171" s="1">
        <v>45945</v>
      </c>
      <c r="B1171" t="s">
        <v>90</v>
      </c>
      <c r="C1171" t="s">
        <v>104</v>
      </c>
      <c r="D1171" t="s">
        <v>114</v>
      </c>
      <c r="E1171" t="s">
        <v>182</v>
      </c>
      <c r="F1171" t="s">
        <v>26</v>
      </c>
      <c r="G1171" s="2">
        <v>94</v>
      </c>
      <c r="H1171" t="s">
        <v>27</v>
      </c>
      <c r="I1171" t="s">
        <v>181</v>
      </c>
      <c r="J1171" t="s">
        <v>18</v>
      </c>
      <c r="K1171" t="s">
        <v>19</v>
      </c>
    </row>
    <row r="1172" spans="1:11">
      <c r="A1172" s="1">
        <v>45945</v>
      </c>
      <c r="B1172" t="s">
        <v>90</v>
      </c>
      <c r="C1172" t="s">
        <v>104</v>
      </c>
      <c r="D1172" t="s">
        <v>114</v>
      </c>
      <c r="E1172" t="s">
        <v>183</v>
      </c>
      <c r="F1172" t="s">
        <v>26</v>
      </c>
      <c r="G1172" s="2">
        <v>120</v>
      </c>
      <c r="H1172" t="s">
        <v>27</v>
      </c>
      <c r="I1172" t="s">
        <v>181</v>
      </c>
      <c r="J1172" t="s">
        <v>18</v>
      </c>
      <c r="K1172" t="s">
        <v>19</v>
      </c>
    </row>
    <row r="1173" spans="1:11">
      <c r="A1173" s="1">
        <v>45945</v>
      </c>
      <c r="B1173" t="s">
        <v>90</v>
      </c>
      <c r="C1173" t="s">
        <v>104</v>
      </c>
      <c r="D1173" t="s">
        <v>114</v>
      </c>
      <c r="E1173" t="s">
        <v>25</v>
      </c>
      <c r="F1173" t="s">
        <v>26</v>
      </c>
      <c r="G1173" s="2">
        <v>165</v>
      </c>
      <c r="H1173" t="s">
        <v>27</v>
      </c>
      <c r="I1173" t="s">
        <v>181</v>
      </c>
      <c r="J1173" t="s">
        <v>18</v>
      </c>
      <c r="K1173" t="s">
        <v>19</v>
      </c>
    </row>
    <row r="1174" spans="1:11">
      <c r="A1174" s="1">
        <v>45945</v>
      </c>
      <c r="B1174" t="s">
        <v>90</v>
      </c>
      <c r="C1174" t="s">
        <v>104</v>
      </c>
      <c r="D1174" t="s">
        <v>114</v>
      </c>
      <c r="E1174" t="s">
        <v>184</v>
      </c>
      <c r="F1174" t="s">
        <v>185</v>
      </c>
      <c r="G1174" s="2">
        <v>295</v>
      </c>
      <c r="H1174" t="s">
        <v>27</v>
      </c>
      <c r="I1174" t="s">
        <v>181</v>
      </c>
      <c r="J1174" t="s">
        <v>18</v>
      </c>
      <c r="K1174" t="s">
        <v>19</v>
      </c>
    </row>
    <row r="1175" spans="1:11">
      <c r="A1175" s="1">
        <v>45945</v>
      </c>
      <c r="B1175" t="s">
        <v>90</v>
      </c>
      <c r="C1175" t="s">
        <v>104</v>
      </c>
      <c r="D1175" t="s">
        <v>114</v>
      </c>
      <c r="E1175" t="s">
        <v>186</v>
      </c>
      <c r="F1175" t="s">
        <v>26</v>
      </c>
      <c r="G1175" s="2">
        <v>135</v>
      </c>
      <c r="H1175" t="s">
        <v>27</v>
      </c>
      <c r="I1175" t="s">
        <v>181</v>
      </c>
      <c r="J1175" t="s">
        <v>18</v>
      </c>
      <c r="K1175" t="s">
        <v>19</v>
      </c>
    </row>
    <row r="1176" spans="1:11">
      <c r="A1176" s="1">
        <v>45945</v>
      </c>
      <c r="B1176" t="s">
        <v>90</v>
      </c>
      <c r="C1176" t="s">
        <v>104</v>
      </c>
      <c r="D1176" t="s">
        <v>118</v>
      </c>
      <c r="E1176" t="s">
        <v>180</v>
      </c>
      <c r="F1176" t="s">
        <v>26</v>
      </c>
      <c r="G1176" s="2">
        <v>80</v>
      </c>
      <c r="H1176" t="s">
        <v>27</v>
      </c>
      <c r="I1176" t="s">
        <v>181</v>
      </c>
      <c r="J1176" t="s">
        <v>18</v>
      </c>
      <c r="K1176" t="s">
        <v>19</v>
      </c>
    </row>
    <row r="1177" spans="1:11">
      <c r="A1177" s="1">
        <v>45945</v>
      </c>
      <c r="B1177" t="s">
        <v>90</v>
      </c>
      <c r="C1177" t="s">
        <v>104</v>
      </c>
      <c r="D1177" t="s">
        <v>118</v>
      </c>
      <c r="E1177" t="s">
        <v>182</v>
      </c>
      <c r="F1177" t="s">
        <v>26</v>
      </c>
      <c r="G1177" s="2">
        <v>70</v>
      </c>
      <c r="H1177" t="s">
        <v>27</v>
      </c>
      <c r="I1177" t="s">
        <v>181</v>
      </c>
      <c r="J1177" t="s">
        <v>18</v>
      </c>
      <c r="K1177" t="s">
        <v>19</v>
      </c>
    </row>
    <row r="1178" spans="1:11">
      <c r="A1178" s="1">
        <v>45945</v>
      </c>
      <c r="B1178" t="s">
        <v>90</v>
      </c>
      <c r="C1178" t="s">
        <v>104</v>
      </c>
      <c r="D1178" t="s">
        <v>118</v>
      </c>
      <c r="E1178" t="s">
        <v>183</v>
      </c>
      <c r="F1178" t="s">
        <v>26</v>
      </c>
      <c r="G1178" s="2">
        <v>108.57</v>
      </c>
      <c r="H1178" t="s">
        <v>27</v>
      </c>
      <c r="I1178" t="s">
        <v>181</v>
      </c>
      <c r="J1178" t="s">
        <v>18</v>
      </c>
      <c r="K1178" t="s">
        <v>19</v>
      </c>
    </row>
    <row r="1179" spans="1:11">
      <c r="A1179" s="1">
        <v>45945</v>
      </c>
      <c r="B1179" t="s">
        <v>90</v>
      </c>
      <c r="C1179" t="s">
        <v>104</v>
      </c>
      <c r="D1179" t="s">
        <v>118</v>
      </c>
      <c r="E1179" t="s">
        <v>25</v>
      </c>
      <c r="F1179" t="s">
        <v>26</v>
      </c>
      <c r="G1179" s="2">
        <v>160</v>
      </c>
      <c r="H1179" t="s">
        <v>27</v>
      </c>
      <c r="I1179" t="s">
        <v>181</v>
      </c>
      <c r="J1179" t="s">
        <v>18</v>
      </c>
      <c r="K1179" t="s">
        <v>19</v>
      </c>
    </row>
    <row r="1180" spans="1:11">
      <c r="A1180" s="1">
        <v>45945</v>
      </c>
      <c r="B1180" t="s">
        <v>90</v>
      </c>
      <c r="C1180" t="s">
        <v>104</v>
      </c>
      <c r="D1180" t="s">
        <v>118</v>
      </c>
      <c r="E1180" t="s">
        <v>184</v>
      </c>
      <c r="F1180" t="s">
        <v>185</v>
      </c>
      <c r="G1180" s="2">
        <v>271.43</v>
      </c>
      <c r="H1180" t="s">
        <v>27</v>
      </c>
      <c r="I1180" t="s">
        <v>181</v>
      </c>
      <c r="J1180" t="s">
        <v>18</v>
      </c>
      <c r="K1180" t="s">
        <v>19</v>
      </c>
    </row>
    <row r="1181" spans="1:11">
      <c r="A1181" s="1">
        <v>45945</v>
      </c>
      <c r="B1181" t="s">
        <v>90</v>
      </c>
      <c r="C1181" t="s">
        <v>104</v>
      </c>
      <c r="D1181" t="s">
        <v>118</v>
      </c>
      <c r="E1181" t="s">
        <v>186</v>
      </c>
      <c r="F1181" t="s">
        <v>26</v>
      </c>
      <c r="G1181" s="2">
        <v>102.86</v>
      </c>
      <c r="H1181" t="s">
        <v>27</v>
      </c>
      <c r="I1181" t="s">
        <v>181</v>
      </c>
      <c r="J1181" t="s">
        <v>18</v>
      </c>
      <c r="K1181" t="s">
        <v>19</v>
      </c>
    </row>
    <row r="1182" spans="1:11">
      <c r="A1182" s="1">
        <v>45945</v>
      </c>
      <c r="B1182" t="s">
        <v>90</v>
      </c>
      <c r="C1182" t="s">
        <v>104</v>
      </c>
      <c r="D1182" t="s">
        <v>157</v>
      </c>
      <c r="E1182" t="s">
        <v>180</v>
      </c>
      <c r="F1182" t="s">
        <v>26</v>
      </c>
      <c r="G1182" s="2">
        <v>90</v>
      </c>
      <c r="H1182" t="s">
        <v>27</v>
      </c>
      <c r="I1182" t="s">
        <v>181</v>
      </c>
      <c r="J1182" t="s">
        <v>18</v>
      </c>
      <c r="K1182" t="s">
        <v>19</v>
      </c>
    </row>
    <row r="1183" spans="1:11">
      <c r="A1183" s="1">
        <v>45945</v>
      </c>
      <c r="B1183" t="s">
        <v>90</v>
      </c>
      <c r="C1183" t="s">
        <v>104</v>
      </c>
      <c r="D1183" t="s">
        <v>157</v>
      </c>
      <c r="E1183" t="s">
        <v>182</v>
      </c>
      <c r="F1183" t="s">
        <v>26</v>
      </c>
      <c r="G1183" s="2">
        <v>70</v>
      </c>
      <c r="H1183" t="s">
        <v>27</v>
      </c>
      <c r="I1183" t="s">
        <v>181</v>
      </c>
      <c r="J1183" t="s">
        <v>18</v>
      </c>
      <c r="K1183" t="s">
        <v>19</v>
      </c>
    </row>
    <row r="1184" spans="1:11">
      <c r="A1184" s="1">
        <v>45945</v>
      </c>
      <c r="B1184" t="s">
        <v>90</v>
      </c>
      <c r="C1184" t="s">
        <v>104</v>
      </c>
      <c r="D1184" t="s">
        <v>157</v>
      </c>
      <c r="E1184" t="s">
        <v>183</v>
      </c>
      <c r="F1184" t="s">
        <v>26</v>
      </c>
      <c r="G1184" s="2">
        <v>100</v>
      </c>
      <c r="H1184" t="s">
        <v>27</v>
      </c>
      <c r="I1184" t="s">
        <v>181</v>
      </c>
      <c r="J1184" t="s">
        <v>18</v>
      </c>
      <c r="K1184" t="s">
        <v>19</v>
      </c>
    </row>
    <row r="1185" spans="1:11">
      <c r="A1185" s="1">
        <v>45945</v>
      </c>
      <c r="B1185" t="s">
        <v>90</v>
      </c>
      <c r="C1185" t="s">
        <v>104</v>
      </c>
      <c r="D1185" t="s">
        <v>157</v>
      </c>
      <c r="E1185" t="s">
        <v>25</v>
      </c>
      <c r="F1185" t="s">
        <v>26</v>
      </c>
      <c r="G1185" s="2">
        <v>160</v>
      </c>
      <c r="H1185" t="s">
        <v>27</v>
      </c>
      <c r="I1185" t="s">
        <v>181</v>
      </c>
      <c r="J1185" t="s">
        <v>18</v>
      </c>
      <c r="K1185" t="s">
        <v>19</v>
      </c>
    </row>
    <row r="1186" spans="1:11">
      <c r="A1186" s="1">
        <v>45945</v>
      </c>
      <c r="B1186" t="s">
        <v>90</v>
      </c>
      <c r="C1186" t="s">
        <v>104</v>
      </c>
      <c r="D1186" t="s">
        <v>157</v>
      </c>
      <c r="E1186" t="s">
        <v>184</v>
      </c>
      <c r="F1186" t="s">
        <v>185</v>
      </c>
      <c r="G1186" s="2">
        <v>300</v>
      </c>
      <c r="H1186" t="s">
        <v>27</v>
      </c>
      <c r="I1186" t="s">
        <v>181</v>
      </c>
      <c r="J1186" t="s">
        <v>18</v>
      </c>
      <c r="K1186" t="s">
        <v>19</v>
      </c>
    </row>
    <row r="1187" spans="1:11">
      <c r="A1187" s="1">
        <v>45945</v>
      </c>
      <c r="B1187" t="s">
        <v>90</v>
      </c>
      <c r="C1187" t="s">
        <v>104</v>
      </c>
      <c r="D1187" t="s">
        <v>157</v>
      </c>
      <c r="E1187" t="s">
        <v>186</v>
      </c>
      <c r="F1187" t="s">
        <v>26</v>
      </c>
      <c r="G1187" s="2">
        <v>150</v>
      </c>
      <c r="H1187" t="s">
        <v>27</v>
      </c>
      <c r="I1187" t="s">
        <v>181</v>
      </c>
      <c r="J1187" t="s">
        <v>18</v>
      </c>
      <c r="K1187" t="s">
        <v>19</v>
      </c>
    </row>
    <row r="1188" spans="1:11">
      <c r="A1188" s="1">
        <v>45976</v>
      </c>
      <c r="B1188" t="s">
        <v>63</v>
      </c>
      <c r="C1188" t="s">
        <v>64</v>
      </c>
      <c r="D1188" t="s">
        <v>68</v>
      </c>
      <c r="E1188" t="s">
        <v>180</v>
      </c>
      <c r="F1188" t="s">
        <v>26</v>
      </c>
      <c r="G1188" s="2">
        <v>99.22</v>
      </c>
      <c r="H1188" t="s">
        <v>27</v>
      </c>
      <c r="I1188" t="s">
        <v>181</v>
      </c>
      <c r="J1188" t="s">
        <v>18</v>
      </c>
      <c r="K1188" t="s">
        <v>19</v>
      </c>
    </row>
    <row r="1189" spans="1:11">
      <c r="A1189" s="1">
        <v>45976</v>
      </c>
      <c r="B1189" t="s">
        <v>63</v>
      </c>
      <c r="C1189" t="s">
        <v>64</v>
      </c>
      <c r="D1189" t="s">
        <v>68</v>
      </c>
      <c r="E1189" t="s">
        <v>182</v>
      </c>
      <c r="F1189" t="s">
        <v>26</v>
      </c>
      <c r="G1189" s="2">
        <v>60.16</v>
      </c>
      <c r="H1189" t="s">
        <v>27</v>
      </c>
      <c r="I1189" t="s">
        <v>181</v>
      </c>
      <c r="J1189" t="s">
        <v>18</v>
      </c>
      <c r="K1189" t="s">
        <v>19</v>
      </c>
    </row>
    <row r="1190" spans="1:11">
      <c r="A1190" s="1">
        <v>45976</v>
      </c>
      <c r="B1190" t="s">
        <v>63</v>
      </c>
      <c r="C1190" t="s">
        <v>64</v>
      </c>
      <c r="D1190" t="s">
        <v>68</v>
      </c>
      <c r="E1190" t="s">
        <v>183</v>
      </c>
      <c r="F1190" t="s">
        <v>26</v>
      </c>
      <c r="G1190" s="2">
        <v>110.56</v>
      </c>
      <c r="H1190" t="s">
        <v>27</v>
      </c>
      <c r="I1190" t="s">
        <v>181</v>
      </c>
      <c r="J1190" t="s">
        <v>18</v>
      </c>
      <c r="K1190" t="s">
        <v>19</v>
      </c>
    </row>
    <row r="1191" spans="1:11">
      <c r="A1191" s="1">
        <v>45976</v>
      </c>
      <c r="B1191" t="s">
        <v>63</v>
      </c>
      <c r="C1191" t="s">
        <v>64</v>
      </c>
      <c r="D1191" t="s">
        <v>68</v>
      </c>
      <c r="E1191" t="s">
        <v>187</v>
      </c>
      <c r="F1191" t="s">
        <v>185</v>
      </c>
      <c r="G1191" s="2">
        <v>208</v>
      </c>
      <c r="H1191" t="s">
        <v>27</v>
      </c>
      <c r="I1191" t="s">
        <v>181</v>
      </c>
      <c r="J1191" t="s">
        <v>18</v>
      </c>
      <c r="K1191" t="s">
        <v>19</v>
      </c>
    </row>
    <row r="1192" spans="1:11">
      <c r="A1192" s="1">
        <v>45976</v>
      </c>
      <c r="B1192" t="s">
        <v>63</v>
      </c>
      <c r="C1192" t="s">
        <v>64</v>
      </c>
      <c r="D1192" t="s">
        <v>68</v>
      </c>
      <c r="E1192" t="s">
        <v>25</v>
      </c>
      <c r="F1192" t="s">
        <v>26</v>
      </c>
      <c r="G1192" s="2">
        <v>119.15</v>
      </c>
      <c r="H1192" t="s">
        <v>27</v>
      </c>
      <c r="I1192" t="s">
        <v>181</v>
      </c>
      <c r="J1192" t="s">
        <v>18</v>
      </c>
      <c r="K1192" t="s">
        <v>19</v>
      </c>
    </row>
    <row r="1193" spans="1:11">
      <c r="A1193" s="1">
        <v>45976</v>
      </c>
      <c r="B1193" t="s">
        <v>63</v>
      </c>
      <c r="C1193" t="s">
        <v>64</v>
      </c>
      <c r="D1193" t="s">
        <v>68</v>
      </c>
      <c r="E1193" t="s">
        <v>184</v>
      </c>
      <c r="F1193" t="s">
        <v>185</v>
      </c>
      <c r="G1193" s="2">
        <v>247.52</v>
      </c>
      <c r="H1193" t="s">
        <v>27</v>
      </c>
      <c r="I1193" t="s">
        <v>181</v>
      </c>
      <c r="J1193" t="s">
        <v>18</v>
      </c>
      <c r="K1193" t="s">
        <v>19</v>
      </c>
    </row>
    <row r="1194" spans="1:11">
      <c r="A1194" s="1">
        <v>45976</v>
      </c>
      <c r="B1194" t="s">
        <v>63</v>
      </c>
      <c r="C1194" t="s">
        <v>64</v>
      </c>
      <c r="D1194" t="s">
        <v>68</v>
      </c>
      <c r="E1194" t="s">
        <v>186</v>
      </c>
      <c r="F1194" t="s">
        <v>26</v>
      </c>
      <c r="G1194" s="2">
        <v>105.41</v>
      </c>
      <c r="H1194" t="s">
        <v>27</v>
      </c>
      <c r="I1194" t="s">
        <v>181</v>
      </c>
      <c r="J1194" t="s">
        <v>18</v>
      </c>
      <c r="K1194" t="s">
        <v>19</v>
      </c>
    </row>
    <row r="1195" spans="1:11">
      <c r="A1195" s="1">
        <v>45976</v>
      </c>
      <c r="B1195" t="s">
        <v>63</v>
      </c>
      <c r="C1195" t="s">
        <v>64</v>
      </c>
      <c r="D1195" t="s">
        <v>71</v>
      </c>
      <c r="E1195" t="s">
        <v>180</v>
      </c>
      <c r="F1195" t="s">
        <v>26</v>
      </c>
      <c r="G1195" s="2">
        <v>93.25</v>
      </c>
      <c r="H1195" t="s">
        <v>27</v>
      </c>
      <c r="I1195" t="s">
        <v>181</v>
      </c>
      <c r="J1195" t="s">
        <v>18</v>
      </c>
      <c r="K1195" t="s">
        <v>19</v>
      </c>
    </row>
    <row r="1196" spans="1:11">
      <c r="A1196" s="1">
        <v>45976</v>
      </c>
      <c r="B1196" t="s">
        <v>63</v>
      </c>
      <c r="C1196" t="s">
        <v>64</v>
      </c>
      <c r="D1196" t="s">
        <v>71</v>
      </c>
      <c r="E1196" t="s">
        <v>182</v>
      </c>
      <c r="F1196" t="s">
        <v>26</v>
      </c>
      <c r="G1196" s="2">
        <v>66.75</v>
      </c>
      <c r="H1196" t="s">
        <v>27</v>
      </c>
      <c r="I1196" t="s">
        <v>181</v>
      </c>
      <c r="J1196" t="s">
        <v>18</v>
      </c>
      <c r="K1196" t="s">
        <v>19</v>
      </c>
    </row>
    <row r="1197" spans="1:11">
      <c r="A1197" s="1">
        <v>45976</v>
      </c>
      <c r="B1197" t="s">
        <v>63</v>
      </c>
      <c r="C1197" t="s">
        <v>64</v>
      </c>
      <c r="D1197" t="s">
        <v>71</v>
      </c>
      <c r="E1197" t="s">
        <v>183</v>
      </c>
      <c r="F1197" t="s">
        <v>26</v>
      </c>
      <c r="G1197" s="2">
        <v>111.97</v>
      </c>
      <c r="H1197" t="s">
        <v>27</v>
      </c>
      <c r="I1197" t="s">
        <v>181</v>
      </c>
      <c r="J1197" t="s">
        <v>18</v>
      </c>
      <c r="K1197" t="s">
        <v>19</v>
      </c>
    </row>
    <row r="1198" spans="1:11">
      <c r="A1198" s="1">
        <v>45976</v>
      </c>
      <c r="B1198" t="s">
        <v>63</v>
      </c>
      <c r="C1198" t="s">
        <v>64</v>
      </c>
      <c r="D1198" t="s">
        <v>71</v>
      </c>
      <c r="E1198" t="s">
        <v>187</v>
      </c>
      <c r="F1198" t="s">
        <v>185</v>
      </c>
      <c r="G1198" s="2">
        <v>150</v>
      </c>
      <c r="H1198" t="s">
        <v>27</v>
      </c>
      <c r="I1198" t="s">
        <v>181</v>
      </c>
      <c r="J1198" t="s">
        <v>18</v>
      </c>
      <c r="K1198" t="s">
        <v>19</v>
      </c>
    </row>
    <row r="1199" spans="1:11">
      <c r="A1199" s="1">
        <v>45976</v>
      </c>
      <c r="B1199" t="s">
        <v>63</v>
      </c>
      <c r="C1199" t="s">
        <v>64</v>
      </c>
      <c r="D1199" t="s">
        <v>71</v>
      </c>
      <c r="E1199" t="s">
        <v>25</v>
      </c>
      <c r="F1199" t="s">
        <v>26</v>
      </c>
      <c r="G1199" s="2">
        <v>122.15</v>
      </c>
      <c r="H1199" t="s">
        <v>27</v>
      </c>
      <c r="I1199" t="s">
        <v>181</v>
      </c>
      <c r="J1199" t="s">
        <v>18</v>
      </c>
      <c r="K1199" t="s">
        <v>19</v>
      </c>
    </row>
    <row r="1200" spans="1:11">
      <c r="A1200" s="1">
        <v>45976</v>
      </c>
      <c r="B1200" t="s">
        <v>63</v>
      </c>
      <c r="C1200" t="s">
        <v>64</v>
      </c>
      <c r="D1200" t="s">
        <v>71</v>
      </c>
      <c r="E1200" t="s">
        <v>184</v>
      </c>
      <c r="F1200" t="s">
        <v>185</v>
      </c>
      <c r="G1200" s="2">
        <v>251.69</v>
      </c>
      <c r="H1200" t="s">
        <v>27</v>
      </c>
      <c r="I1200" t="s">
        <v>181</v>
      </c>
      <c r="J1200" t="s">
        <v>18</v>
      </c>
      <c r="K1200" t="s">
        <v>19</v>
      </c>
    </row>
    <row r="1201" spans="1:11">
      <c r="A1201" s="1">
        <v>45976</v>
      </c>
      <c r="B1201" t="s">
        <v>63</v>
      </c>
      <c r="C1201" t="s">
        <v>64</v>
      </c>
      <c r="D1201" t="s">
        <v>71</v>
      </c>
      <c r="E1201" t="s">
        <v>186</v>
      </c>
      <c r="F1201" t="s">
        <v>26</v>
      </c>
      <c r="G1201" s="2">
        <v>119.26</v>
      </c>
      <c r="H1201" t="s">
        <v>27</v>
      </c>
      <c r="I1201" t="s">
        <v>181</v>
      </c>
      <c r="J1201" t="s">
        <v>18</v>
      </c>
      <c r="K1201" t="s">
        <v>19</v>
      </c>
    </row>
    <row r="1202" spans="1:11">
      <c r="A1202" s="1">
        <v>45976</v>
      </c>
      <c r="B1202" t="s">
        <v>63</v>
      </c>
      <c r="C1202" t="s">
        <v>64</v>
      </c>
      <c r="D1202" t="s">
        <v>72</v>
      </c>
      <c r="E1202" t="s">
        <v>180</v>
      </c>
      <c r="F1202" t="s">
        <v>26</v>
      </c>
      <c r="G1202" s="2">
        <v>101.28</v>
      </c>
      <c r="H1202" t="s">
        <v>27</v>
      </c>
      <c r="I1202" t="s">
        <v>181</v>
      </c>
      <c r="J1202" t="s">
        <v>18</v>
      </c>
      <c r="K1202" t="s">
        <v>19</v>
      </c>
    </row>
    <row r="1203" spans="1:11">
      <c r="A1203" s="1">
        <v>45976</v>
      </c>
      <c r="B1203" t="s">
        <v>63</v>
      </c>
      <c r="C1203" t="s">
        <v>64</v>
      </c>
      <c r="D1203" t="s">
        <v>72</v>
      </c>
      <c r="E1203" t="s">
        <v>182</v>
      </c>
      <c r="F1203" t="s">
        <v>26</v>
      </c>
      <c r="G1203" s="2">
        <v>56.43</v>
      </c>
      <c r="H1203" t="s">
        <v>27</v>
      </c>
      <c r="I1203" t="s">
        <v>181</v>
      </c>
      <c r="J1203" t="s">
        <v>18</v>
      </c>
      <c r="K1203" t="s">
        <v>19</v>
      </c>
    </row>
    <row r="1204" spans="1:11">
      <c r="A1204" s="1">
        <v>45976</v>
      </c>
      <c r="B1204" t="s">
        <v>63</v>
      </c>
      <c r="C1204" t="s">
        <v>64</v>
      </c>
      <c r="D1204" t="s">
        <v>72</v>
      </c>
      <c r="E1204" t="s">
        <v>183</v>
      </c>
      <c r="F1204" t="s">
        <v>26</v>
      </c>
      <c r="G1204" s="2">
        <v>109.68</v>
      </c>
      <c r="H1204" t="s">
        <v>27</v>
      </c>
      <c r="I1204" t="s">
        <v>181</v>
      </c>
      <c r="J1204" t="s">
        <v>18</v>
      </c>
      <c r="K1204" t="s">
        <v>19</v>
      </c>
    </row>
    <row r="1205" spans="1:11">
      <c r="A1205" s="1">
        <v>45976</v>
      </c>
      <c r="B1205" t="s">
        <v>63</v>
      </c>
      <c r="C1205" t="s">
        <v>64</v>
      </c>
      <c r="D1205" t="s">
        <v>72</v>
      </c>
      <c r="E1205" t="s">
        <v>187</v>
      </c>
      <c r="F1205" t="s">
        <v>185</v>
      </c>
      <c r="G1205" s="2">
        <v>169.58</v>
      </c>
      <c r="H1205" t="s">
        <v>27</v>
      </c>
      <c r="I1205" t="s">
        <v>181</v>
      </c>
      <c r="J1205" t="s">
        <v>18</v>
      </c>
      <c r="K1205" t="s">
        <v>19</v>
      </c>
    </row>
    <row r="1206" spans="1:11">
      <c r="A1206" s="1">
        <v>45976</v>
      </c>
      <c r="B1206" t="s">
        <v>63</v>
      </c>
      <c r="C1206" t="s">
        <v>64</v>
      </c>
      <c r="D1206" t="s">
        <v>72</v>
      </c>
      <c r="E1206" t="s">
        <v>25</v>
      </c>
      <c r="F1206" t="s">
        <v>26</v>
      </c>
      <c r="G1206" s="2">
        <v>120.46</v>
      </c>
      <c r="H1206" t="s">
        <v>27</v>
      </c>
      <c r="I1206" t="s">
        <v>181</v>
      </c>
      <c r="J1206" t="s">
        <v>18</v>
      </c>
      <c r="K1206" t="s">
        <v>19</v>
      </c>
    </row>
    <row r="1207" spans="1:11">
      <c r="A1207" s="1">
        <v>45976</v>
      </c>
      <c r="B1207" t="s">
        <v>63</v>
      </c>
      <c r="C1207" t="s">
        <v>64</v>
      </c>
      <c r="D1207" t="s">
        <v>72</v>
      </c>
      <c r="E1207" t="s">
        <v>184</v>
      </c>
      <c r="F1207" t="s">
        <v>185</v>
      </c>
      <c r="G1207" s="2">
        <v>264.68</v>
      </c>
      <c r="H1207" t="s">
        <v>27</v>
      </c>
      <c r="I1207" t="s">
        <v>181</v>
      </c>
      <c r="J1207" t="s">
        <v>18</v>
      </c>
      <c r="K1207" t="s">
        <v>19</v>
      </c>
    </row>
    <row r="1208" spans="1:11">
      <c r="A1208" s="1">
        <v>45976</v>
      </c>
      <c r="B1208" t="s">
        <v>63</v>
      </c>
      <c r="C1208" t="s">
        <v>64</v>
      </c>
      <c r="D1208" t="s">
        <v>72</v>
      </c>
      <c r="E1208" t="s">
        <v>186</v>
      </c>
      <c r="F1208" t="s">
        <v>26</v>
      </c>
      <c r="G1208" s="2">
        <v>117.41</v>
      </c>
      <c r="H1208" t="s">
        <v>27</v>
      </c>
      <c r="I1208" t="s">
        <v>181</v>
      </c>
      <c r="J1208" t="s">
        <v>18</v>
      </c>
      <c r="K1208" t="s">
        <v>19</v>
      </c>
    </row>
    <row r="1209" spans="1:11">
      <c r="A1209" s="1">
        <v>45976</v>
      </c>
      <c r="B1209" t="s">
        <v>90</v>
      </c>
      <c r="C1209" t="s">
        <v>104</v>
      </c>
      <c r="D1209" t="s">
        <v>108</v>
      </c>
      <c r="E1209" t="s">
        <v>180</v>
      </c>
      <c r="F1209" t="s">
        <v>26</v>
      </c>
      <c r="G1209" s="2">
        <v>80.56</v>
      </c>
      <c r="H1209" t="s">
        <v>27</v>
      </c>
      <c r="I1209" t="s">
        <v>181</v>
      </c>
      <c r="J1209" t="s">
        <v>18</v>
      </c>
      <c r="K1209" t="s">
        <v>19</v>
      </c>
    </row>
    <row r="1210" spans="1:11">
      <c r="A1210" s="1">
        <v>45976</v>
      </c>
      <c r="B1210" t="s">
        <v>90</v>
      </c>
      <c r="C1210" t="s">
        <v>104</v>
      </c>
      <c r="D1210" t="s">
        <v>108</v>
      </c>
      <c r="E1210" t="s">
        <v>182</v>
      </c>
      <c r="F1210" t="s">
        <v>26</v>
      </c>
      <c r="G1210" s="2">
        <v>76.56999999999999</v>
      </c>
      <c r="H1210" t="s">
        <v>27</v>
      </c>
      <c r="I1210" t="s">
        <v>181</v>
      </c>
      <c r="J1210" t="s">
        <v>18</v>
      </c>
      <c r="K1210" t="s">
        <v>19</v>
      </c>
    </row>
    <row r="1211" spans="1:11">
      <c r="A1211" s="1">
        <v>45976</v>
      </c>
      <c r="B1211" t="s">
        <v>90</v>
      </c>
      <c r="C1211" t="s">
        <v>104</v>
      </c>
      <c r="D1211" t="s">
        <v>108</v>
      </c>
      <c r="E1211" t="s">
        <v>183</v>
      </c>
      <c r="F1211" t="s">
        <v>26</v>
      </c>
      <c r="G1211" s="2">
        <v>116.52</v>
      </c>
      <c r="H1211" t="s">
        <v>27</v>
      </c>
      <c r="I1211" t="s">
        <v>181</v>
      </c>
      <c r="J1211" t="s">
        <v>18</v>
      </c>
      <c r="K1211" t="s">
        <v>19</v>
      </c>
    </row>
    <row r="1212" spans="1:11">
      <c r="A1212" s="1">
        <v>45976</v>
      </c>
      <c r="B1212" t="s">
        <v>90</v>
      </c>
      <c r="C1212" t="s">
        <v>104</v>
      </c>
      <c r="D1212" t="s">
        <v>108</v>
      </c>
      <c r="E1212" t="s">
        <v>25</v>
      </c>
      <c r="F1212" t="s">
        <v>26</v>
      </c>
      <c r="G1212" s="2">
        <v>165.37</v>
      </c>
      <c r="H1212" t="s">
        <v>27</v>
      </c>
      <c r="I1212" t="s">
        <v>181</v>
      </c>
      <c r="J1212" t="s">
        <v>18</v>
      </c>
      <c r="K1212" t="s">
        <v>19</v>
      </c>
    </row>
    <row r="1213" spans="1:11">
      <c r="A1213" s="1">
        <v>45976</v>
      </c>
      <c r="B1213" t="s">
        <v>90</v>
      </c>
      <c r="C1213" t="s">
        <v>104</v>
      </c>
      <c r="D1213" t="s">
        <v>108</v>
      </c>
      <c r="E1213" t="s">
        <v>184</v>
      </c>
      <c r="F1213" t="s">
        <v>185</v>
      </c>
      <c r="G1213" s="2">
        <v>259.26</v>
      </c>
      <c r="H1213" t="s">
        <v>27</v>
      </c>
      <c r="I1213" t="s">
        <v>181</v>
      </c>
      <c r="J1213" t="s">
        <v>18</v>
      </c>
      <c r="K1213" t="s">
        <v>19</v>
      </c>
    </row>
    <row r="1214" spans="1:11">
      <c r="A1214" s="1">
        <v>45976</v>
      </c>
      <c r="B1214" t="s">
        <v>90</v>
      </c>
      <c r="C1214" t="s">
        <v>104</v>
      </c>
      <c r="D1214" t="s">
        <v>108</v>
      </c>
      <c r="E1214" t="s">
        <v>186</v>
      </c>
      <c r="F1214" t="s">
        <v>26</v>
      </c>
      <c r="G1214" s="2">
        <v>118.52</v>
      </c>
      <c r="H1214" t="s">
        <v>27</v>
      </c>
      <c r="I1214" t="s">
        <v>181</v>
      </c>
      <c r="J1214" t="s">
        <v>18</v>
      </c>
      <c r="K1214" t="s">
        <v>19</v>
      </c>
    </row>
    <row r="1215" spans="1:11">
      <c r="A1215" s="1">
        <v>45976</v>
      </c>
      <c r="B1215" t="s">
        <v>90</v>
      </c>
      <c r="C1215" t="s">
        <v>104</v>
      </c>
      <c r="D1215" t="s">
        <v>109</v>
      </c>
      <c r="E1215" t="s">
        <v>180</v>
      </c>
      <c r="F1215" t="s">
        <v>26</v>
      </c>
      <c r="G1215" s="2">
        <v>82.69</v>
      </c>
      <c r="H1215" t="s">
        <v>27</v>
      </c>
      <c r="I1215" t="s">
        <v>181</v>
      </c>
      <c r="J1215" t="s">
        <v>18</v>
      </c>
      <c r="K1215" t="s">
        <v>19</v>
      </c>
    </row>
    <row r="1216" spans="1:11">
      <c r="A1216" s="1">
        <v>45976</v>
      </c>
      <c r="B1216" t="s">
        <v>90</v>
      </c>
      <c r="C1216" t="s">
        <v>104</v>
      </c>
      <c r="D1216" t="s">
        <v>109</v>
      </c>
      <c r="E1216" t="s">
        <v>182</v>
      </c>
      <c r="F1216" t="s">
        <v>26</v>
      </c>
      <c r="G1216" s="2">
        <v>101.67</v>
      </c>
      <c r="H1216" t="s">
        <v>27</v>
      </c>
      <c r="I1216" t="s">
        <v>181</v>
      </c>
      <c r="J1216" t="s">
        <v>18</v>
      </c>
      <c r="K1216" t="s">
        <v>19</v>
      </c>
    </row>
    <row r="1217" spans="1:11">
      <c r="A1217" s="1">
        <v>45976</v>
      </c>
      <c r="B1217" t="s">
        <v>90</v>
      </c>
      <c r="C1217" t="s">
        <v>104</v>
      </c>
      <c r="D1217" t="s">
        <v>109</v>
      </c>
      <c r="E1217" t="s">
        <v>183</v>
      </c>
      <c r="F1217" t="s">
        <v>26</v>
      </c>
      <c r="G1217" s="2">
        <v>163.52</v>
      </c>
      <c r="H1217" t="s">
        <v>27</v>
      </c>
      <c r="I1217" t="s">
        <v>181</v>
      </c>
      <c r="J1217" t="s">
        <v>18</v>
      </c>
      <c r="K1217" t="s">
        <v>19</v>
      </c>
    </row>
    <row r="1218" spans="1:11">
      <c r="A1218" s="1">
        <v>45976</v>
      </c>
      <c r="B1218" t="s">
        <v>90</v>
      </c>
      <c r="C1218" t="s">
        <v>104</v>
      </c>
      <c r="D1218" t="s">
        <v>109</v>
      </c>
      <c r="E1218" t="s">
        <v>25</v>
      </c>
      <c r="F1218" t="s">
        <v>26</v>
      </c>
      <c r="G1218" s="2">
        <v>174.91</v>
      </c>
      <c r="H1218" t="s">
        <v>27</v>
      </c>
      <c r="I1218" t="s">
        <v>181</v>
      </c>
      <c r="J1218" t="s">
        <v>18</v>
      </c>
      <c r="K1218" t="s">
        <v>19</v>
      </c>
    </row>
    <row r="1219" spans="1:11">
      <c r="A1219" s="1">
        <v>45976</v>
      </c>
      <c r="B1219" t="s">
        <v>90</v>
      </c>
      <c r="C1219" t="s">
        <v>104</v>
      </c>
      <c r="D1219" t="s">
        <v>109</v>
      </c>
      <c r="E1219" t="s">
        <v>184</v>
      </c>
      <c r="F1219" t="s">
        <v>185</v>
      </c>
      <c r="G1219" s="2">
        <v>293.89</v>
      </c>
      <c r="H1219" t="s">
        <v>27</v>
      </c>
      <c r="I1219" t="s">
        <v>181</v>
      </c>
      <c r="J1219" t="s">
        <v>18</v>
      </c>
      <c r="K1219" t="s">
        <v>19</v>
      </c>
    </row>
    <row r="1220" spans="1:11">
      <c r="A1220" s="1">
        <v>45976</v>
      </c>
      <c r="B1220" t="s">
        <v>90</v>
      </c>
      <c r="C1220" t="s">
        <v>104</v>
      </c>
      <c r="D1220" t="s">
        <v>109</v>
      </c>
      <c r="E1220" t="s">
        <v>186</v>
      </c>
      <c r="F1220" t="s">
        <v>26</v>
      </c>
      <c r="G1220" s="2">
        <v>149.72</v>
      </c>
      <c r="H1220" t="s">
        <v>27</v>
      </c>
      <c r="I1220" t="s">
        <v>181</v>
      </c>
      <c r="J1220" t="s">
        <v>18</v>
      </c>
      <c r="K1220" t="s">
        <v>19</v>
      </c>
    </row>
    <row r="1221" spans="1:11">
      <c r="A1221" s="1">
        <v>45976</v>
      </c>
      <c r="B1221" t="s">
        <v>90</v>
      </c>
      <c r="C1221" t="s">
        <v>104</v>
      </c>
      <c r="D1221" t="s">
        <v>112</v>
      </c>
      <c r="E1221" t="s">
        <v>180</v>
      </c>
      <c r="F1221" t="s">
        <v>26</v>
      </c>
      <c r="G1221" s="2">
        <v>78.06</v>
      </c>
      <c r="H1221" t="s">
        <v>27</v>
      </c>
      <c r="I1221" t="s">
        <v>181</v>
      </c>
      <c r="J1221" t="s">
        <v>18</v>
      </c>
      <c r="K1221" t="s">
        <v>19</v>
      </c>
    </row>
    <row r="1222" spans="1:11">
      <c r="A1222" s="1">
        <v>45976</v>
      </c>
      <c r="B1222" t="s">
        <v>90</v>
      </c>
      <c r="C1222" t="s">
        <v>104</v>
      </c>
      <c r="D1222" t="s">
        <v>112</v>
      </c>
      <c r="E1222" t="s">
        <v>182</v>
      </c>
      <c r="F1222" t="s">
        <v>26</v>
      </c>
      <c r="G1222" s="2">
        <v>74.33</v>
      </c>
      <c r="H1222" t="s">
        <v>27</v>
      </c>
      <c r="I1222" t="s">
        <v>181</v>
      </c>
      <c r="J1222" t="s">
        <v>18</v>
      </c>
      <c r="K1222" t="s">
        <v>19</v>
      </c>
    </row>
    <row r="1223" spans="1:11">
      <c r="A1223" s="1">
        <v>45976</v>
      </c>
      <c r="B1223" t="s">
        <v>90</v>
      </c>
      <c r="C1223" t="s">
        <v>104</v>
      </c>
      <c r="D1223" t="s">
        <v>112</v>
      </c>
      <c r="E1223" t="s">
        <v>183</v>
      </c>
      <c r="F1223" t="s">
        <v>26</v>
      </c>
      <c r="G1223" s="2">
        <v>129.63</v>
      </c>
      <c r="H1223" t="s">
        <v>27</v>
      </c>
      <c r="I1223" t="s">
        <v>181</v>
      </c>
      <c r="J1223" t="s">
        <v>18</v>
      </c>
      <c r="K1223" t="s">
        <v>19</v>
      </c>
    </row>
    <row r="1224" spans="1:11">
      <c r="A1224" s="1">
        <v>45976</v>
      </c>
      <c r="B1224" t="s">
        <v>90</v>
      </c>
      <c r="C1224" t="s">
        <v>104</v>
      </c>
      <c r="D1224" t="s">
        <v>112</v>
      </c>
      <c r="E1224" t="s">
        <v>25</v>
      </c>
      <c r="F1224" t="s">
        <v>26</v>
      </c>
      <c r="G1224" s="2">
        <v>157.41</v>
      </c>
      <c r="H1224" t="s">
        <v>27</v>
      </c>
      <c r="I1224" t="s">
        <v>181</v>
      </c>
      <c r="J1224" t="s">
        <v>18</v>
      </c>
      <c r="K1224" t="s">
        <v>19</v>
      </c>
    </row>
    <row r="1225" spans="1:11">
      <c r="A1225" s="1">
        <v>45976</v>
      </c>
      <c r="B1225" t="s">
        <v>90</v>
      </c>
      <c r="C1225" t="s">
        <v>104</v>
      </c>
      <c r="D1225" t="s">
        <v>112</v>
      </c>
      <c r="E1225" t="s">
        <v>184</v>
      </c>
      <c r="F1225" t="s">
        <v>185</v>
      </c>
      <c r="G1225" s="2">
        <v>280.37</v>
      </c>
      <c r="H1225" t="s">
        <v>27</v>
      </c>
      <c r="I1225" t="s">
        <v>181</v>
      </c>
      <c r="J1225" t="s">
        <v>18</v>
      </c>
      <c r="K1225" t="s">
        <v>19</v>
      </c>
    </row>
    <row r="1226" spans="1:11">
      <c r="A1226" s="1">
        <v>45976</v>
      </c>
      <c r="B1226" t="s">
        <v>90</v>
      </c>
      <c r="C1226" t="s">
        <v>104</v>
      </c>
      <c r="D1226" t="s">
        <v>112</v>
      </c>
      <c r="E1226" t="s">
        <v>186</v>
      </c>
      <c r="F1226" t="s">
        <v>26</v>
      </c>
      <c r="G1226" s="2">
        <v>132.07</v>
      </c>
      <c r="H1226" t="s">
        <v>27</v>
      </c>
      <c r="I1226" t="s">
        <v>181</v>
      </c>
      <c r="J1226" t="s">
        <v>18</v>
      </c>
      <c r="K1226" t="s">
        <v>19</v>
      </c>
    </row>
    <row r="1227" spans="1:11">
      <c r="A1227" s="1">
        <v>45976</v>
      </c>
      <c r="B1227" t="s">
        <v>90</v>
      </c>
      <c r="C1227" t="s">
        <v>104</v>
      </c>
      <c r="D1227" t="s">
        <v>113</v>
      </c>
      <c r="E1227" t="s">
        <v>180</v>
      </c>
      <c r="F1227" t="s">
        <v>26</v>
      </c>
      <c r="G1227" s="2">
        <v>82.59</v>
      </c>
      <c r="H1227" t="s">
        <v>27</v>
      </c>
      <c r="I1227" t="s">
        <v>181</v>
      </c>
      <c r="J1227" t="s">
        <v>18</v>
      </c>
      <c r="K1227" t="s">
        <v>19</v>
      </c>
    </row>
    <row r="1228" spans="1:11">
      <c r="A1228" s="1">
        <v>45976</v>
      </c>
      <c r="B1228" t="s">
        <v>90</v>
      </c>
      <c r="C1228" t="s">
        <v>104</v>
      </c>
      <c r="D1228" t="s">
        <v>113</v>
      </c>
      <c r="E1228" t="s">
        <v>182</v>
      </c>
      <c r="F1228" t="s">
        <v>26</v>
      </c>
      <c r="G1228" s="2">
        <v>80</v>
      </c>
      <c r="H1228" t="s">
        <v>27</v>
      </c>
      <c r="I1228" t="s">
        <v>181</v>
      </c>
      <c r="J1228" t="s">
        <v>18</v>
      </c>
      <c r="K1228" t="s">
        <v>19</v>
      </c>
    </row>
    <row r="1229" spans="1:11">
      <c r="A1229" s="1">
        <v>45976</v>
      </c>
      <c r="B1229" t="s">
        <v>90</v>
      </c>
      <c r="C1229" t="s">
        <v>104</v>
      </c>
      <c r="D1229" t="s">
        <v>113</v>
      </c>
      <c r="E1229" t="s">
        <v>183</v>
      </c>
      <c r="F1229" t="s">
        <v>26</v>
      </c>
      <c r="G1229" s="2">
        <v>124.91</v>
      </c>
      <c r="H1229" t="s">
        <v>27</v>
      </c>
      <c r="I1229" t="s">
        <v>181</v>
      </c>
      <c r="J1229" t="s">
        <v>18</v>
      </c>
      <c r="K1229" t="s">
        <v>19</v>
      </c>
    </row>
    <row r="1230" spans="1:11">
      <c r="A1230" s="1">
        <v>45976</v>
      </c>
      <c r="B1230" t="s">
        <v>90</v>
      </c>
      <c r="C1230" t="s">
        <v>104</v>
      </c>
      <c r="D1230" t="s">
        <v>113</v>
      </c>
      <c r="E1230" t="s">
        <v>25</v>
      </c>
      <c r="F1230" t="s">
        <v>26</v>
      </c>
      <c r="G1230" s="2">
        <v>162.59</v>
      </c>
      <c r="H1230" t="s">
        <v>27</v>
      </c>
      <c r="I1230" t="s">
        <v>181</v>
      </c>
      <c r="J1230" t="s">
        <v>18</v>
      </c>
      <c r="K1230" t="s">
        <v>19</v>
      </c>
    </row>
    <row r="1231" spans="1:11">
      <c r="A1231" s="1">
        <v>45976</v>
      </c>
      <c r="B1231" t="s">
        <v>90</v>
      </c>
      <c r="C1231" t="s">
        <v>104</v>
      </c>
      <c r="D1231" t="s">
        <v>113</v>
      </c>
      <c r="E1231" t="s">
        <v>184</v>
      </c>
      <c r="F1231" t="s">
        <v>185</v>
      </c>
      <c r="G1231" s="2">
        <v>271.11</v>
      </c>
      <c r="H1231" t="s">
        <v>27</v>
      </c>
      <c r="I1231" t="s">
        <v>181</v>
      </c>
      <c r="J1231" t="s">
        <v>18</v>
      </c>
      <c r="K1231" t="s">
        <v>19</v>
      </c>
    </row>
    <row r="1232" spans="1:11">
      <c r="A1232" s="1">
        <v>45976</v>
      </c>
      <c r="B1232" t="s">
        <v>90</v>
      </c>
      <c r="C1232" t="s">
        <v>104</v>
      </c>
      <c r="D1232" t="s">
        <v>113</v>
      </c>
      <c r="E1232" t="s">
        <v>186</v>
      </c>
      <c r="F1232" t="s">
        <v>26</v>
      </c>
      <c r="G1232" s="2">
        <v>133.7</v>
      </c>
      <c r="H1232" t="s">
        <v>27</v>
      </c>
      <c r="I1232" t="s">
        <v>181</v>
      </c>
      <c r="J1232" t="s">
        <v>18</v>
      </c>
      <c r="K1232" t="s">
        <v>19</v>
      </c>
    </row>
    <row r="1233" spans="1:11">
      <c r="A1233" s="1">
        <v>45976</v>
      </c>
      <c r="B1233" t="s">
        <v>90</v>
      </c>
      <c r="C1233" t="s">
        <v>104</v>
      </c>
      <c r="D1233" t="s">
        <v>114</v>
      </c>
      <c r="E1233" t="s">
        <v>180</v>
      </c>
      <c r="F1233" t="s">
        <v>26</v>
      </c>
      <c r="G1233" s="2">
        <v>76.06999999999999</v>
      </c>
      <c r="H1233" t="s">
        <v>27</v>
      </c>
      <c r="I1233" t="s">
        <v>181</v>
      </c>
      <c r="J1233" t="s">
        <v>18</v>
      </c>
      <c r="K1233" t="s">
        <v>19</v>
      </c>
    </row>
    <row r="1234" spans="1:11">
      <c r="A1234" s="1">
        <v>45976</v>
      </c>
      <c r="B1234" t="s">
        <v>90</v>
      </c>
      <c r="C1234" t="s">
        <v>104</v>
      </c>
      <c r="D1234" t="s">
        <v>114</v>
      </c>
      <c r="E1234" t="s">
        <v>182</v>
      </c>
      <c r="F1234" t="s">
        <v>26</v>
      </c>
      <c r="G1234" s="2">
        <v>83.11</v>
      </c>
      <c r="H1234" t="s">
        <v>27</v>
      </c>
      <c r="I1234" t="s">
        <v>181</v>
      </c>
      <c r="J1234" t="s">
        <v>18</v>
      </c>
      <c r="K1234" t="s">
        <v>19</v>
      </c>
    </row>
    <row r="1235" spans="1:11">
      <c r="A1235" s="1">
        <v>45976</v>
      </c>
      <c r="B1235" t="s">
        <v>90</v>
      </c>
      <c r="C1235" t="s">
        <v>104</v>
      </c>
      <c r="D1235" t="s">
        <v>114</v>
      </c>
      <c r="E1235" t="s">
        <v>183</v>
      </c>
      <c r="F1235" t="s">
        <v>26</v>
      </c>
      <c r="G1235" s="2">
        <v>120</v>
      </c>
      <c r="H1235" t="s">
        <v>27</v>
      </c>
      <c r="I1235" t="s">
        <v>181</v>
      </c>
      <c r="J1235" t="s">
        <v>18</v>
      </c>
      <c r="K1235" t="s">
        <v>19</v>
      </c>
    </row>
    <row r="1236" spans="1:11">
      <c r="A1236" s="1">
        <v>45976</v>
      </c>
      <c r="B1236" t="s">
        <v>90</v>
      </c>
      <c r="C1236" t="s">
        <v>104</v>
      </c>
      <c r="D1236" t="s">
        <v>114</v>
      </c>
      <c r="E1236" t="s">
        <v>25</v>
      </c>
      <c r="F1236" t="s">
        <v>26</v>
      </c>
      <c r="G1236" s="2">
        <v>171.48</v>
      </c>
      <c r="H1236" t="s">
        <v>27</v>
      </c>
      <c r="I1236" t="s">
        <v>181</v>
      </c>
      <c r="J1236" t="s">
        <v>18</v>
      </c>
      <c r="K1236" t="s">
        <v>19</v>
      </c>
    </row>
    <row r="1237" spans="1:11">
      <c r="A1237" s="1">
        <v>45976</v>
      </c>
      <c r="B1237" t="s">
        <v>90</v>
      </c>
      <c r="C1237" t="s">
        <v>104</v>
      </c>
      <c r="D1237" t="s">
        <v>114</v>
      </c>
      <c r="E1237" t="s">
        <v>184</v>
      </c>
      <c r="F1237" t="s">
        <v>185</v>
      </c>
      <c r="G1237" s="2">
        <v>298.89</v>
      </c>
      <c r="H1237" t="s">
        <v>27</v>
      </c>
      <c r="I1237" t="s">
        <v>181</v>
      </c>
      <c r="J1237" t="s">
        <v>18</v>
      </c>
      <c r="K1237" t="s">
        <v>19</v>
      </c>
    </row>
    <row r="1238" spans="1:11">
      <c r="A1238" s="1">
        <v>45976</v>
      </c>
      <c r="B1238" t="s">
        <v>90</v>
      </c>
      <c r="C1238" t="s">
        <v>104</v>
      </c>
      <c r="D1238" t="s">
        <v>114</v>
      </c>
      <c r="E1238" t="s">
        <v>186</v>
      </c>
      <c r="F1238" t="s">
        <v>26</v>
      </c>
      <c r="G1238" s="2">
        <v>123.33</v>
      </c>
      <c r="H1238" t="s">
        <v>27</v>
      </c>
      <c r="I1238" t="s">
        <v>181</v>
      </c>
      <c r="J1238" t="s">
        <v>18</v>
      </c>
      <c r="K1238" t="s">
        <v>19</v>
      </c>
    </row>
    <row r="1239" spans="1:11">
      <c r="A1239" s="1">
        <v>45976</v>
      </c>
      <c r="B1239" t="s">
        <v>90</v>
      </c>
      <c r="C1239" t="s">
        <v>104</v>
      </c>
      <c r="D1239" t="s">
        <v>118</v>
      </c>
      <c r="E1239" t="s">
        <v>180</v>
      </c>
      <c r="F1239" t="s">
        <v>26</v>
      </c>
      <c r="G1239" s="2">
        <v>80</v>
      </c>
      <c r="H1239" t="s">
        <v>27</v>
      </c>
      <c r="I1239" t="s">
        <v>181</v>
      </c>
      <c r="J1239" t="s">
        <v>18</v>
      </c>
      <c r="K1239" t="s">
        <v>19</v>
      </c>
    </row>
    <row r="1240" spans="1:11">
      <c r="A1240" s="1">
        <v>45976</v>
      </c>
      <c r="B1240" t="s">
        <v>90</v>
      </c>
      <c r="C1240" t="s">
        <v>104</v>
      </c>
      <c r="D1240" t="s">
        <v>118</v>
      </c>
      <c r="E1240" t="s">
        <v>182</v>
      </c>
      <c r="F1240" t="s">
        <v>26</v>
      </c>
      <c r="G1240" s="2">
        <v>77.78</v>
      </c>
      <c r="H1240" t="s">
        <v>27</v>
      </c>
      <c r="I1240" t="s">
        <v>181</v>
      </c>
      <c r="J1240" t="s">
        <v>18</v>
      </c>
      <c r="K1240" t="s">
        <v>19</v>
      </c>
    </row>
    <row r="1241" spans="1:11">
      <c r="A1241" s="1">
        <v>45976</v>
      </c>
      <c r="B1241" t="s">
        <v>90</v>
      </c>
      <c r="C1241" t="s">
        <v>104</v>
      </c>
      <c r="D1241" t="s">
        <v>118</v>
      </c>
      <c r="E1241" t="s">
        <v>183</v>
      </c>
      <c r="F1241" t="s">
        <v>26</v>
      </c>
      <c r="G1241" s="2">
        <v>112.28</v>
      </c>
      <c r="H1241" t="s">
        <v>27</v>
      </c>
      <c r="I1241" t="s">
        <v>181</v>
      </c>
      <c r="J1241" t="s">
        <v>18</v>
      </c>
      <c r="K1241" t="s">
        <v>19</v>
      </c>
    </row>
    <row r="1242" spans="1:11">
      <c r="A1242" s="1">
        <v>45976</v>
      </c>
      <c r="B1242" t="s">
        <v>90</v>
      </c>
      <c r="C1242" t="s">
        <v>104</v>
      </c>
      <c r="D1242" t="s">
        <v>118</v>
      </c>
      <c r="E1242" t="s">
        <v>25</v>
      </c>
      <c r="F1242" t="s">
        <v>26</v>
      </c>
      <c r="G1242" s="2">
        <v>157.41</v>
      </c>
      <c r="H1242" t="s">
        <v>27</v>
      </c>
      <c r="I1242" t="s">
        <v>181</v>
      </c>
      <c r="J1242" t="s">
        <v>18</v>
      </c>
      <c r="K1242" t="s">
        <v>19</v>
      </c>
    </row>
    <row r="1243" spans="1:11">
      <c r="A1243" s="1">
        <v>45976</v>
      </c>
      <c r="B1243" t="s">
        <v>90</v>
      </c>
      <c r="C1243" t="s">
        <v>104</v>
      </c>
      <c r="D1243" t="s">
        <v>118</v>
      </c>
      <c r="E1243" t="s">
        <v>184</v>
      </c>
      <c r="F1243" t="s">
        <v>185</v>
      </c>
      <c r="G1243" s="2">
        <v>267.72</v>
      </c>
      <c r="H1243" t="s">
        <v>27</v>
      </c>
      <c r="I1243" t="s">
        <v>181</v>
      </c>
      <c r="J1243" t="s">
        <v>18</v>
      </c>
      <c r="K1243" t="s">
        <v>19</v>
      </c>
    </row>
    <row r="1244" spans="1:11">
      <c r="A1244" s="1">
        <v>45976</v>
      </c>
      <c r="B1244" t="s">
        <v>90</v>
      </c>
      <c r="C1244" t="s">
        <v>104</v>
      </c>
      <c r="D1244" t="s">
        <v>118</v>
      </c>
      <c r="E1244" t="s">
        <v>186</v>
      </c>
      <c r="F1244" t="s">
        <v>26</v>
      </c>
      <c r="G1244" s="2">
        <v>123.97</v>
      </c>
      <c r="H1244" t="s">
        <v>27</v>
      </c>
      <c r="I1244" t="s">
        <v>181</v>
      </c>
      <c r="J1244" t="s">
        <v>18</v>
      </c>
      <c r="K1244" t="s">
        <v>19</v>
      </c>
    </row>
    <row r="1245" spans="1:11">
      <c r="A1245" s="1">
        <v>45976</v>
      </c>
      <c r="B1245" t="s">
        <v>90</v>
      </c>
      <c r="C1245" t="s">
        <v>104</v>
      </c>
      <c r="D1245" t="s">
        <v>119</v>
      </c>
      <c r="E1245" t="s">
        <v>180</v>
      </c>
      <c r="F1245" t="s">
        <v>26</v>
      </c>
      <c r="G1245" s="2">
        <v>80</v>
      </c>
      <c r="H1245" t="s">
        <v>27</v>
      </c>
      <c r="I1245" t="s">
        <v>181</v>
      </c>
      <c r="J1245" t="s">
        <v>18</v>
      </c>
      <c r="K1245" t="s">
        <v>19</v>
      </c>
    </row>
    <row r="1246" spans="1:11">
      <c r="A1246" s="1">
        <v>45976</v>
      </c>
      <c r="B1246" t="s">
        <v>90</v>
      </c>
      <c r="C1246" t="s">
        <v>104</v>
      </c>
      <c r="D1246" t="s">
        <v>119</v>
      </c>
      <c r="E1246" t="s">
        <v>183</v>
      </c>
      <c r="F1246" t="s">
        <v>26</v>
      </c>
      <c r="G1246" s="2">
        <v>100</v>
      </c>
      <c r="H1246" t="s">
        <v>27</v>
      </c>
      <c r="I1246" t="s">
        <v>181</v>
      </c>
      <c r="J1246" t="s">
        <v>18</v>
      </c>
      <c r="K1246" t="s">
        <v>19</v>
      </c>
    </row>
    <row r="1247" spans="1:11">
      <c r="A1247" s="1">
        <v>45976</v>
      </c>
      <c r="B1247" t="s">
        <v>90</v>
      </c>
      <c r="C1247" t="s">
        <v>104</v>
      </c>
      <c r="D1247" t="s">
        <v>119</v>
      </c>
      <c r="E1247" t="s">
        <v>25</v>
      </c>
      <c r="F1247" t="s">
        <v>26</v>
      </c>
      <c r="G1247" s="2">
        <v>155</v>
      </c>
      <c r="H1247" t="s">
        <v>27</v>
      </c>
      <c r="I1247" t="s">
        <v>181</v>
      </c>
      <c r="J1247" t="s">
        <v>18</v>
      </c>
      <c r="K1247" t="s">
        <v>19</v>
      </c>
    </row>
    <row r="1248" spans="1:11">
      <c r="A1248" s="1">
        <v>45976</v>
      </c>
      <c r="B1248" t="s">
        <v>90</v>
      </c>
      <c r="C1248" t="s">
        <v>104</v>
      </c>
      <c r="D1248" t="s">
        <v>119</v>
      </c>
      <c r="E1248" t="s">
        <v>184</v>
      </c>
      <c r="F1248" t="s">
        <v>185</v>
      </c>
      <c r="G1248" s="2">
        <v>250</v>
      </c>
      <c r="H1248" t="s">
        <v>27</v>
      </c>
      <c r="I1248" t="s">
        <v>181</v>
      </c>
      <c r="J1248" t="s">
        <v>18</v>
      </c>
      <c r="K1248" t="s">
        <v>19</v>
      </c>
    </row>
    <row r="1249" spans="1:11">
      <c r="A1249" s="1">
        <v>45976</v>
      </c>
      <c r="B1249" t="s">
        <v>90</v>
      </c>
      <c r="C1249" t="s">
        <v>104</v>
      </c>
      <c r="D1249" t="s">
        <v>119</v>
      </c>
      <c r="E1249" t="s">
        <v>186</v>
      </c>
      <c r="F1249" t="s">
        <v>26</v>
      </c>
      <c r="G1249" s="2">
        <v>120</v>
      </c>
      <c r="H1249" t="s">
        <v>27</v>
      </c>
      <c r="I1249" t="s">
        <v>181</v>
      </c>
      <c r="J1249" t="s">
        <v>18</v>
      </c>
      <c r="K1249" t="s">
        <v>19</v>
      </c>
    </row>
    <row r="1250" spans="1:11">
      <c r="A1250" s="1">
        <v>45976</v>
      </c>
      <c r="B1250" t="s">
        <v>90</v>
      </c>
      <c r="C1250" t="s">
        <v>104</v>
      </c>
      <c r="D1250" t="s">
        <v>120</v>
      </c>
      <c r="E1250" t="s">
        <v>180</v>
      </c>
      <c r="F1250" t="s">
        <v>26</v>
      </c>
      <c r="G1250" s="2">
        <v>80</v>
      </c>
      <c r="H1250" t="s">
        <v>27</v>
      </c>
      <c r="I1250" t="s">
        <v>181</v>
      </c>
      <c r="J1250" t="s">
        <v>18</v>
      </c>
      <c r="K1250" t="s">
        <v>19</v>
      </c>
    </row>
    <row r="1251" spans="1:11">
      <c r="A1251" s="1">
        <v>45976</v>
      </c>
      <c r="B1251" t="s">
        <v>90</v>
      </c>
      <c r="C1251" t="s">
        <v>104</v>
      </c>
      <c r="D1251" t="s">
        <v>120</v>
      </c>
      <c r="E1251" t="s">
        <v>182</v>
      </c>
      <c r="F1251" t="s">
        <v>26</v>
      </c>
      <c r="G1251" s="2">
        <v>80</v>
      </c>
      <c r="H1251" t="s">
        <v>27</v>
      </c>
      <c r="I1251" t="s">
        <v>181</v>
      </c>
      <c r="J1251" t="s">
        <v>18</v>
      </c>
      <c r="K1251" t="s">
        <v>19</v>
      </c>
    </row>
    <row r="1252" spans="1:11">
      <c r="A1252" s="1">
        <v>45976</v>
      </c>
      <c r="B1252" t="s">
        <v>90</v>
      </c>
      <c r="C1252" t="s">
        <v>104</v>
      </c>
      <c r="D1252" t="s">
        <v>120</v>
      </c>
      <c r="E1252" t="s">
        <v>183</v>
      </c>
      <c r="F1252" t="s">
        <v>26</v>
      </c>
      <c r="G1252" s="2">
        <v>100</v>
      </c>
      <c r="H1252" t="s">
        <v>27</v>
      </c>
      <c r="I1252" t="s">
        <v>181</v>
      </c>
      <c r="J1252" t="s">
        <v>18</v>
      </c>
      <c r="K1252" t="s">
        <v>19</v>
      </c>
    </row>
    <row r="1253" spans="1:11">
      <c r="A1253" s="1">
        <v>45976</v>
      </c>
      <c r="B1253" t="s">
        <v>90</v>
      </c>
      <c r="C1253" t="s">
        <v>104</v>
      </c>
      <c r="D1253" t="s">
        <v>120</v>
      </c>
      <c r="E1253" t="s">
        <v>25</v>
      </c>
      <c r="F1253" t="s">
        <v>26</v>
      </c>
      <c r="G1253" s="2">
        <v>160</v>
      </c>
      <c r="H1253" t="s">
        <v>27</v>
      </c>
      <c r="I1253" t="s">
        <v>181</v>
      </c>
      <c r="J1253" t="s">
        <v>18</v>
      </c>
      <c r="K1253" t="s">
        <v>19</v>
      </c>
    </row>
    <row r="1254" spans="1:11">
      <c r="A1254" s="1">
        <v>45976</v>
      </c>
      <c r="B1254" t="s">
        <v>90</v>
      </c>
      <c r="C1254" t="s">
        <v>104</v>
      </c>
      <c r="D1254" t="s">
        <v>120</v>
      </c>
      <c r="E1254" t="s">
        <v>184</v>
      </c>
      <c r="F1254" t="s">
        <v>185</v>
      </c>
      <c r="G1254" s="2">
        <v>300</v>
      </c>
      <c r="H1254" t="s">
        <v>27</v>
      </c>
      <c r="I1254" t="s">
        <v>181</v>
      </c>
      <c r="J1254" t="s">
        <v>18</v>
      </c>
      <c r="K1254" t="s">
        <v>19</v>
      </c>
    </row>
    <row r="1255" spans="1:11">
      <c r="A1255" s="1">
        <v>45976</v>
      </c>
      <c r="B1255" t="s">
        <v>90</v>
      </c>
      <c r="C1255" t="s">
        <v>104</v>
      </c>
      <c r="D1255" t="s">
        <v>120</v>
      </c>
      <c r="E1255" t="s">
        <v>186</v>
      </c>
      <c r="F1255" t="s">
        <v>26</v>
      </c>
      <c r="G1255" s="2">
        <v>100</v>
      </c>
      <c r="H1255" t="s">
        <v>27</v>
      </c>
      <c r="I1255" t="s">
        <v>181</v>
      </c>
      <c r="J1255" t="s">
        <v>18</v>
      </c>
      <c r="K1255" t="s">
        <v>19</v>
      </c>
    </row>
    <row r="1256" spans="1:11">
      <c r="A1256" s="1">
        <v>45976</v>
      </c>
      <c r="B1256" t="s">
        <v>90</v>
      </c>
      <c r="C1256" t="s">
        <v>104</v>
      </c>
      <c r="D1256" t="s">
        <v>157</v>
      </c>
      <c r="E1256" t="s">
        <v>180</v>
      </c>
      <c r="F1256" t="s">
        <v>26</v>
      </c>
      <c r="G1256" s="2">
        <v>84.17</v>
      </c>
      <c r="H1256" t="s">
        <v>27</v>
      </c>
      <c r="I1256" t="s">
        <v>181</v>
      </c>
      <c r="J1256" t="s">
        <v>18</v>
      </c>
      <c r="K1256" t="s">
        <v>19</v>
      </c>
    </row>
    <row r="1257" spans="1:11">
      <c r="A1257" s="1">
        <v>45976</v>
      </c>
      <c r="B1257" t="s">
        <v>90</v>
      </c>
      <c r="C1257" t="s">
        <v>104</v>
      </c>
      <c r="D1257" t="s">
        <v>157</v>
      </c>
      <c r="E1257" t="s">
        <v>182</v>
      </c>
      <c r="F1257" t="s">
        <v>26</v>
      </c>
      <c r="G1257" s="2">
        <v>77.78</v>
      </c>
      <c r="H1257" t="s">
        <v>27</v>
      </c>
      <c r="I1257" t="s">
        <v>181</v>
      </c>
      <c r="J1257" t="s">
        <v>18</v>
      </c>
      <c r="K1257" t="s">
        <v>19</v>
      </c>
    </row>
    <row r="1258" spans="1:11">
      <c r="A1258" s="1">
        <v>45976</v>
      </c>
      <c r="B1258" t="s">
        <v>90</v>
      </c>
      <c r="C1258" t="s">
        <v>104</v>
      </c>
      <c r="D1258" t="s">
        <v>157</v>
      </c>
      <c r="E1258" t="s">
        <v>183</v>
      </c>
      <c r="F1258" t="s">
        <v>26</v>
      </c>
      <c r="G1258" s="2">
        <v>138.89</v>
      </c>
      <c r="H1258" t="s">
        <v>27</v>
      </c>
      <c r="I1258" t="s">
        <v>181</v>
      </c>
      <c r="J1258" t="s">
        <v>18</v>
      </c>
      <c r="K1258" t="s">
        <v>19</v>
      </c>
    </row>
    <row r="1259" spans="1:11">
      <c r="A1259" s="1">
        <v>45976</v>
      </c>
      <c r="B1259" t="s">
        <v>90</v>
      </c>
      <c r="C1259" t="s">
        <v>104</v>
      </c>
      <c r="D1259" t="s">
        <v>157</v>
      </c>
      <c r="E1259" t="s">
        <v>25</v>
      </c>
      <c r="F1259" t="s">
        <v>26</v>
      </c>
      <c r="G1259" s="2">
        <v>169.72</v>
      </c>
      <c r="H1259" t="s">
        <v>27</v>
      </c>
      <c r="I1259" t="s">
        <v>181</v>
      </c>
      <c r="J1259" t="s">
        <v>18</v>
      </c>
      <c r="K1259" t="s">
        <v>19</v>
      </c>
    </row>
    <row r="1260" spans="1:11">
      <c r="A1260" s="1">
        <v>45976</v>
      </c>
      <c r="B1260" t="s">
        <v>90</v>
      </c>
      <c r="C1260" t="s">
        <v>104</v>
      </c>
      <c r="D1260" t="s">
        <v>157</v>
      </c>
      <c r="E1260" t="s">
        <v>184</v>
      </c>
      <c r="F1260" t="s">
        <v>185</v>
      </c>
      <c r="G1260" s="2">
        <v>290.28</v>
      </c>
      <c r="H1260" t="s">
        <v>27</v>
      </c>
      <c r="I1260" t="s">
        <v>181</v>
      </c>
      <c r="J1260" t="s">
        <v>18</v>
      </c>
      <c r="K1260" t="s">
        <v>19</v>
      </c>
    </row>
    <row r="1261" spans="1:11">
      <c r="A1261" s="1">
        <v>45976</v>
      </c>
      <c r="B1261" t="s">
        <v>90</v>
      </c>
      <c r="C1261" t="s">
        <v>104</v>
      </c>
      <c r="D1261" t="s">
        <v>157</v>
      </c>
      <c r="E1261" t="s">
        <v>186</v>
      </c>
      <c r="F1261" t="s">
        <v>26</v>
      </c>
      <c r="G1261" s="2">
        <v>140.28</v>
      </c>
      <c r="H1261" t="s">
        <v>27</v>
      </c>
      <c r="I1261" t="s">
        <v>181</v>
      </c>
      <c r="J1261" t="s">
        <v>18</v>
      </c>
      <c r="K1261" t="s">
        <v>19</v>
      </c>
    </row>
    <row r="1262" spans="1:11">
      <c r="A1262" s="1">
        <v>46006</v>
      </c>
      <c r="B1262" t="s">
        <v>63</v>
      </c>
      <c r="C1262" t="s">
        <v>64</v>
      </c>
      <c r="D1262" t="s">
        <v>68</v>
      </c>
      <c r="E1262" t="s">
        <v>180</v>
      </c>
      <c r="F1262" t="s">
        <v>26</v>
      </c>
      <c r="G1262" s="2">
        <v>90</v>
      </c>
      <c r="H1262" t="s">
        <v>27</v>
      </c>
      <c r="I1262" t="s">
        <v>181</v>
      </c>
      <c r="J1262" t="s">
        <v>18</v>
      </c>
      <c r="K1262" t="s">
        <v>19</v>
      </c>
    </row>
    <row r="1263" spans="1:11">
      <c r="A1263" s="1">
        <v>46006</v>
      </c>
      <c r="B1263" t="s">
        <v>63</v>
      </c>
      <c r="C1263" t="s">
        <v>64</v>
      </c>
      <c r="D1263" t="s">
        <v>68</v>
      </c>
      <c r="E1263" t="s">
        <v>183</v>
      </c>
      <c r="F1263" t="s">
        <v>26</v>
      </c>
      <c r="G1263" s="2">
        <v>100</v>
      </c>
      <c r="H1263" t="s">
        <v>27</v>
      </c>
      <c r="I1263" t="s">
        <v>181</v>
      </c>
      <c r="J1263" t="s">
        <v>18</v>
      </c>
      <c r="K1263" t="s">
        <v>19</v>
      </c>
    </row>
    <row r="1264" spans="1:11">
      <c r="A1264" s="1">
        <v>46006</v>
      </c>
      <c r="B1264" t="s">
        <v>63</v>
      </c>
      <c r="C1264" t="s">
        <v>64</v>
      </c>
      <c r="D1264" t="s">
        <v>68</v>
      </c>
      <c r="E1264" t="s">
        <v>184</v>
      </c>
      <c r="F1264" t="s">
        <v>185</v>
      </c>
      <c r="G1264" s="2">
        <v>240</v>
      </c>
      <c r="H1264" t="s">
        <v>27</v>
      </c>
      <c r="I1264" t="s">
        <v>181</v>
      </c>
      <c r="J1264" t="s">
        <v>18</v>
      </c>
      <c r="K1264" t="s">
        <v>19</v>
      </c>
    </row>
    <row r="1265" spans="1:11">
      <c r="A1265" s="1">
        <v>46006</v>
      </c>
      <c r="B1265" t="s">
        <v>63</v>
      </c>
      <c r="C1265" t="s">
        <v>64</v>
      </c>
      <c r="D1265" t="s">
        <v>68</v>
      </c>
      <c r="E1265" t="s">
        <v>186</v>
      </c>
      <c r="F1265" t="s">
        <v>26</v>
      </c>
      <c r="G1265" s="2">
        <v>110</v>
      </c>
      <c r="H1265" t="s">
        <v>27</v>
      </c>
      <c r="I1265" t="s">
        <v>181</v>
      </c>
      <c r="J1265" t="s">
        <v>18</v>
      </c>
      <c r="K1265" t="s">
        <v>19</v>
      </c>
    </row>
    <row r="1266" spans="1:11">
      <c r="A1266" s="1">
        <v>46006</v>
      </c>
      <c r="B1266" t="s">
        <v>63</v>
      </c>
      <c r="C1266" t="s">
        <v>64</v>
      </c>
      <c r="D1266" t="s">
        <v>72</v>
      </c>
      <c r="E1266" t="s">
        <v>180</v>
      </c>
      <c r="F1266" t="s">
        <v>26</v>
      </c>
      <c r="G1266" s="2">
        <v>100</v>
      </c>
      <c r="H1266" t="s">
        <v>27</v>
      </c>
      <c r="I1266" t="s">
        <v>181</v>
      </c>
      <c r="J1266" t="s">
        <v>18</v>
      </c>
      <c r="K1266" t="s">
        <v>19</v>
      </c>
    </row>
    <row r="1267" spans="1:11">
      <c r="A1267" s="1">
        <v>46006</v>
      </c>
      <c r="B1267" t="s">
        <v>63</v>
      </c>
      <c r="C1267" t="s">
        <v>64</v>
      </c>
      <c r="D1267" t="s">
        <v>72</v>
      </c>
      <c r="E1267" t="s">
        <v>182</v>
      </c>
      <c r="F1267" t="s">
        <v>26</v>
      </c>
      <c r="G1267" s="2">
        <v>60</v>
      </c>
      <c r="H1267" t="s">
        <v>27</v>
      </c>
      <c r="I1267" t="s">
        <v>181</v>
      </c>
      <c r="J1267" t="s">
        <v>18</v>
      </c>
      <c r="K1267" t="s">
        <v>19</v>
      </c>
    </row>
    <row r="1268" spans="1:11">
      <c r="A1268" s="1">
        <v>46006</v>
      </c>
      <c r="B1268" t="s">
        <v>63</v>
      </c>
      <c r="C1268" t="s">
        <v>64</v>
      </c>
      <c r="D1268" t="s">
        <v>72</v>
      </c>
      <c r="E1268" t="s">
        <v>183</v>
      </c>
      <c r="F1268" t="s">
        <v>26</v>
      </c>
      <c r="G1268" s="2">
        <v>117.14</v>
      </c>
      <c r="H1268" t="s">
        <v>27</v>
      </c>
      <c r="I1268" t="s">
        <v>181</v>
      </c>
      <c r="J1268" t="s">
        <v>18</v>
      </c>
      <c r="K1268" t="s">
        <v>19</v>
      </c>
    </row>
    <row r="1269" spans="1:11">
      <c r="A1269" s="1">
        <v>46006</v>
      </c>
      <c r="B1269" t="s">
        <v>63</v>
      </c>
      <c r="C1269" t="s">
        <v>64</v>
      </c>
      <c r="D1269" t="s">
        <v>72</v>
      </c>
      <c r="E1269" t="s">
        <v>184</v>
      </c>
      <c r="F1269" t="s">
        <v>185</v>
      </c>
      <c r="G1269" s="2">
        <v>248.57</v>
      </c>
      <c r="H1269" t="s">
        <v>27</v>
      </c>
      <c r="I1269" t="s">
        <v>181</v>
      </c>
      <c r="J1269" t="s">
        <v>18</v>
      </c>
      <c r="K1269" t="s">
        <v>19</v>
      </c>
    </row>
    <row r="1270" spans="1:11">
      <c r="A1270" s="1">
        <v>46006</v>
      </c>
      <c r="B1270" t="s">
        <v>63</v>
      </c>
      <c r="C1270" t="s">
        <v>64</v>
      </c>
      <c r="D1270" t="s">
        <v>72</v>
      </c>
      <c r="E1270" t="s">
        <v>186</v>
      </c>
      <c r="F1270" t="s">
        <v>26</v>
      </c>
      <c r="G1270" s="2">
        <v>111.43</v>
      </c>
      <c r="H1270" t="s">
        <v>27</v>
      </c>
      <c r="I1270" t="s">
        <v>181</v>
      </c>
      <c r="J1270" t="s">
        <v>18</v>
      </c>
      <c r="K1270" t="s">
        <v>19</v>
      </c>
    </row>
    <row r="1271" spans="1:11">
      <c r="A1271" s="1">
        <v>46037</v>
      </c>
      <c r="B1271" t="s">
        <v>63</v>
      </c>
      <c r="C1271" t="s">
        <v>64</v>
      </c>
      <c r="D1271" t="s">
        <v>68</v>
      </c>
      <c r="E1271" t="s">
        <v>180</v>
      </c>
      <c r="F1271" t="s">
        <v>26</v>
      </c>
      <c r="G1271" s="2">
        <v>98.40000000000001</v>
      </c>
      <c r="H1271" t="s">
        <v>27</v>
      </c>
      <c r="I1271" t="s">
        <v>181</v>
      </c>
      <c r="J1271" t="s">
        <v>18</v>
      </c>
      <c r="K1271" t="s">
        <v>19</v>
      </c>
    </row>
    <row r="1272" spans="1:11">
      <c r="A1272" s="1">
        <v>46037</v>
      </c>
      <c r="B1272" t="s">
        <v>63</v>
      </c>
      <c r="C1272" t="s">
        <v>64</v>
      </c>
      <c r="D1272" t="s">
        <v>68</v>
      </c>
      <c r="E1272" t="s">
        <v>182</v>
      </c>
      <c r="F1272" t="s">
        <v>26</v>
      </c>
      <c r="G1272" s="2">
        <v>64.12</v>
      </c>
      <c r="H1272" t="s">
        <v>27</v>
      </c>
      <c r="I1272" t="s">
        <v>181</v>
      </c>
      <c r="J1272" t="s">
        <v>18</v>
      </c>
      <c r="K1272" t="s">
        <v>19</v>
      </c>
    </row>
    <row r="1273" spans="1:11">
      <c r="A1273" s="1">
        <v>46037</v>
      </c>
      <c r="B1273" t="s">
        <v>63</v>
      </c>
      <c r="C1273" t="s">
        <v>64</v>
      </c>
      <c r="D1273" t="s">
        <v>68</v>
      </c>
      <c r="E1273" t="s">
        <v>183</v>
      </c>
      <c r="F1273" t="s">
        <v>26</v>
      </c>
      <c r="G1273" s="2">
        <v>111.52</v>
      </c>
      <c r="H1273" t="s">
        <v>27</v>
      </c>
      <c r="I1273" t="s">
        <v>181</v>
      </c>
      <c r="J1273" t="s">
        <v>18</v>
      </c>
      <c r="K1273" t="s">
        <v>19</v>
      </c>
    </row>
    <row r="1274" spans="1:11">
      <c r="A1274" s="1">
        <v>46037</v>
      </c>
      <c r="B1274" t="s">
        <v>63</v>
      </c>
      <c r="C1274" t="s">
        <v>64</v>
      </c>
      <c r="D1274" t="s">
        <v>68</v>
      </c>
      <c r="E1274" t="s">
        <v>187</v>
      </c>
      <c r="F1274" t="s">
        <v>185</v>
      </c>
      <c r="G1274" s="2">
        <v>180</v>
      </c>
      <c r="H1274" t="s">
        <v>27</v>
      </c>
      <c r="I1274" t="s">
        <v>181</v>
      </c>
      <c r="J1274" t="s">
        <v>18</v>
      </c>
      <c r="K1274" t="s">
        <v>19</v>
      </c>
    </row>
    <row r="1275" spans="1:11">
      <c r="A1275" s="1">
        <v>46037</v>
      </c>
      <c r="B1275" t="s">
        <v>63</v>
      </c>
      <c r="C1275" t="s">
        <v>64</v>
      </c>
      <c r="D1275" t="s">
        <v>68</v>
      </c>
      <c r="E1275" t="s">
        <v>25</v>
      </c>
      <c r="F1275" t="s">
        <v>26</v>
      </c>
      <c r="G1275" s="2">
        <v>116.6</v>
      </c>
      <c r="H1275" t="s">
        <v>27</v>
      </c>
      <c r="I1275" t="s">
        <v>181</v>
      </c>
      <c r="J1275" t="s">
        <v>18</v>
      </c>
      <c r="K1275" t="s">
        <v>19</v>
      </c>
    </row>
    <row r="1276" spans="1:11">
      <c r="A1276" s="1">
        <v>46037</v>
      </c>
      <c r="B1276" t="s">
        <v>63</v>
      </c>
      <c r="C1276" t="s">
        <v>64</v>
      </c>
      <c r="D1276" t="s">
        <v>68</v>
      </c>
      <c r="E1276" t="s">
        <v>184</v>
      </c>
      <c r="F1276" t="s">
        <v>185</v>
      </c>
      <c r="G1276" s="2">
        <v>248.4</v>
      </c>
      <c r="H1276" t="s">
        <v>27</v>
      </c>
      <c r="I1276" t="s">
        <v>181</v>
      </c>
      <c r="J1276" t="s">
        <v>18</v>
      </c>
      <c r="K1276" t="s">
        <v>19</v>
      </c>
    </row>
    <row r="1277" spans="1:11">
      <c r="A1277" s="1">
        <v>46037</v>
      </c>
      <c r="B1277" t="s">
        <v>63</v>
      </c>
      <c r="C1277" t="s">
        <v>64</v>
      </c>
      <c r="D1277" t="s">
        <v>68</v>
      </c>
      <c r="E1277" t="s">
        <v>186</v>
      </c>
      <c r="F1277" t="s">
        <v>26</v>
      </c>
      <c r="G1277" s="2">
        <v>112.56</v>
      </c>
      <c r="H1277" t="s">
        <v>27</v>
      </c>
      <c r="I1277" t="s">
        <v>181</v>
      </c>
      <c r="J1277" t="s">
        <v>18</v>
      </c>
      <c r="K1277" t="s">
        <v>19</v>
      </c>
    </row>
    <row r="1278" spans="1:11">
      <c r="A1278" s="1">
        <v>46037</v>
      </c>
      <c r="B1278" t="s">
        <v>63</v>
      </c>
      <c r="C1278" t="s">
        <v>64</v>
      </c>
      <c r="D1278" t="s">
        <v>71</v>
      </c>
      <c r="E1278" t="s">
        <v>180</v>
      </c>
      <c r="F1278" t="s">
        <v>26</v>
      </c>
      <c r="G1278" s="2">
        <v>94.22</v>
      </c>
      <c r="H1278" t="s">
        <v>27</v>
      </c>
      <c r="I1278" t="s">
        <v>181</v>
      </c>
      <c r="J1278" t="s">
        <v>18</v>
      </c>
      <c r="K1278" t="s">
        <v>19</v>
      </c>
    </row>
    <row r="1279" spans="1:11">
      <c r="A1279" s="1">
        <v>46037</v>
      </c>
      <c r="B1279" t="s">
        <v>63</v>
      </c>
      <c r="C1279" t="s">
        <v>64</v>
      </c>
      <c r="D1279" t="s">
        <v>71</v>
      </c>
      <c r="E1279" t="s">
        <v>182</v>
      </c>
      <c r="F1279" t="s">
        <v>26</v>
      </c>
      <c r="G1279" s="2">
        <v>72.5</v>
      </c>
      <c r="H1279" t="s">
        <v>27</v>
      </c>
      <c r="I1279" t="s">
        <v>181</v>
      </c>
      <c r="J1279" t="s">
        <v>18</v>
      </c>
      <c r="K1279" t="s">
        <v>19</v>
      </c>
    </row>
    <row r="1280" spans="1:11">
      <c r="A1280" s="1">
        <v>46037</v>
      </c>
      <c r="B1280" t="s">
        <v>63</v>
      </c>
      <c r="C1280" t="s">
        <v>64</v>
      </c>
      <c r="D1280" t="s">
        <v>71</v>
      </c>
      <c r="E1280" t="s">
        <v>183</v>
      </c>
      <c r="F1280" t="s">
        <v>26</v>
      </c>
      <c r="G1280" s="2">
        <v>100.67</v>
      </c>
      <c r="H1280" t="s">
        <v>27</v>
      </c>
      <c r="I1280" t="s">
        <v>181</v>
      </c>
      <c r="J1280" t="s">
        <v>18</v>
      </c>
      <c r="K1280" t="s">
        <v>19</v>
      </c>
    </row>
    <row r="1281" spans="1:11">
      <c r="A1281" s="1">
        <v>46037</v>
      </c>
      <c r="B1281" t="s">
        <v>63</v>
      </c>
      <c r="C1281" t="s">
        <v>64</v>
      </c>
      <c r="D1281" t="s">
        <v>71</v>
      </c>
      <c r="E1281" t="s">
        <v>25</v>
      </c>
      <c r="F1281" t="s">
        <v>26</v>
      </c>
      <c r="G1281" s="2">
        <v>111</v>
      </c>
      <c r="H1281" t="s">
        <v>27</v>
      </c>
      <c r="I1281" t="s">
        <v>181</v>
      </c>
      <c r="J1281" t="s">
        <v>18</v>
      </c>
      <c r="K1281" t="s">
        <v>19</v>
      </c>
    </row>
    <row r="1282" spans="1:11">
      <c r="A1282" s="1">
        <v>46037</v>
      </c>
      <c r="B1282" t="s">
        <v>63</v>
      </c>
      <c r="C1282" t="s">
        <v>64</v>
      </c>
      <c r="D1282" t="s">
        <v>71</v>
      </c>
      <c r="E1282" t="s">
        <v>184</v>
      </c>
      <c r="F1282" t="s">
        <v>185</v>
      </c>
      <c r="G1282" s="2">
        <v>259.89</v>
      </c>
      <c r="H1282" t="s">
        <v>27</v>
      </c>
      <c r="I1282" t="s">
        <v>181</v>
      </c>
      <c r="J1282" t="s">
        <v>18</v>
      </c>
      <c r="K1282" t="s">
        <v>19</v>
      </c>
    </row>
    <row r="1283" spans="1:11">
      <c r="A1283" s="1">
        <v>46037</v>
      </c>
      <c r="B1283" t="s">
        <v>63</v>
      </c>
      <c r="C1283" t="s">
        <v>64</v>
      </c>
      <c r="D1283" t="s">
        <v>71</v>
      </c>
      <c r="E1283" t="s">
        <v>186</v>
      </c>
      <c r="F1283" t="s">
        <v>26</v>
      </c>
      <c r="G1283" s="2">
        <v>120.11</v>
      </c>
      <c r="H1283" t="s">
        <v>27</v>
      </c>
      <c r="I1283" t="s">
        <v>181</v>
      </c>
      <c r="J1283" t="s">
        <v>18</v>
      </c>
      <c r="K1283" t="s">
        <v>19</v>
      </c>
    </row>
    <row r="1284" spans="1:11">
      <c r="A1284" s="1">
        <v>46037</v>
      </c>
      <c r="B1284" t="s">
        <v>63</v>
      </c>
      <c r="C1284" t="s">
        <v>64</v>
      </c>
      <c r="D1284" t="s">
        <v>72</v>
      </c>
      <c r="E1284" t="s">
        <v>180</v>
      </c>
      <c r="F1284" t="s">
        <v>26</v>
      </c>
      <c r="G1284" s="2">
        <v>100</v>
      </c>
      <c r="H1284" t="s">
        <v>27</v>
      </c>
      <c r="I1284" t="s">
        <v>181</v>
      </c>
      <c r="J1284" t="s">
        <v>18</v>
      </c>
      <c r="K1284" t="s">
        <v>19</v>
      </c>
    </row>
    <row r="1285" spans="1:11">
      <c r="A1285" s="1">
        <v>46037</v>
      </c>
      <c r="B1285" t="s">
        <v>63</v>
      </c>
      <c r="C1285" t="s">
        <v>64</v>
      </c>
      <c r="D1285" t="s">
        <v>72</v>
      </c>
      <c r="E1285" t="s">
        <v>182</v>
      </c>
      <c r="F1285" t="s">
        <v>26</v>
      </c>
      <c r="G1285" s="2">
        <v>61.95</v>
      </c>
      <c r="H1285" t="s">
        <v>27</v>
      </c>
      <c r="I1285" t="s">
        <v>181</v>
      </c>
      <c r="J1285" t="s">
        <v>18</v>
      </c>
      <c r="K1285" t="s">
        <v>19</v>
      </c>
    </row>
    <row r="1286" spans="1:11">
      <c r="A1286" s="1">
        <v>46037</v>
      </c>
      <c r="B1286" t="s">
        <v>63</v>
      </c>
      <c r="C1286" t="s">
        <v>64</v>
      </c>
      <c r="D1286" t="s">
        <v>72</v>
      </c>
      <c r="E1286" t="s">
        <v>183</v>
      </c>
      <c r="F1286" t="s">
        <v>26</v>
      </c>
      <c r="G1286" s="2">
        <v>116.13</v>
      </c>
      <c r="H1286" t="s">
        <v>27</v>
      </c>
      <c r="I1286" t="s">
        <v>181</v>
      </c>
      <c r="J1286" t="s">
        <v>18</v>
      </c>
      <c r="K1286" t="s">
        <v>19</v>
      </c>
    </row>
    <row r="1287" spans="1:11">
      <c r="A1287" s="1">
        <v>46037</v>
      </c>
      <c r="B1287" t="s">
        <v>63</v>
      </c>
      <c r="C1287" t="s">
        <v>64</v>
      </c>
      <c r="D1287" t="s">
        <v>72</v>
      </c>
      <c r="E1287" t="s">
        <v>25</v>
      </c>
      <c r="F1287" t="s">
        <v>26</v>
      </c>
      <c r="G1287" s="2">
        <v>119.57</v>
      </c>
      <c r="H1287" t="s">
        <v>27</v>
      </c>
      <c r="I1287" t="s">
        <v>181</v>
      </c>
      <c r="J1287" t="s">
        <v>18</v>
      </c>
      <c r="K1287" t="s">
        <v>19</v>
      </c>
    </row>
    <row r="1288" spans="1:11">
      <c r="A1288" s="1">
        <v>46037</v>
      </c>
      <c r="B1288" t="s">
        <v>63</v>
      </c>
      <c r="C1288" t="s">
        <v>64</v>
      </c>
      <c r="D1288" t="s">
        <v>72</v>
      </c>
      <c r="E1288" t="s">
        <v>184</v>
      </c>
      <c r="F1288" t="s">
        <v>185</v>
      </c>
      <c r="G1288" s="2">
        <v>248.2</v>
      </c>
      <c r="H1288" t="s">
        <v>27</v>
      </c>
      <c r="I1288" t="s">
        <v>181</v>
      </c>
      <c r="J1288" t="s">
        <v>18</v>
      </c>
      <c r="K1288" t="s">
        <v>19</v>
      </c>
    </row>
    <row r="1289" spans="1:11">
      <c r="A1289" s="1">
        <v>46037</v>
      </c>
      <c r="B1289" t="s">
        <v>63</v>
      </c>
      <c r="C1289" t="s">
        <v>64</v>
      </c>
      <c r="D1289" t="s">
        <v>72</v>
      </c>
      <c r="E1289" t="s">
        <v>186</v>
      </c>
      <c r="F1289" t="s">
        <v>26</v>
      </c>
      <c r="G1289" s="2">
        <v>114.94</v>
      </c>
      <c r="H1289" t="s">
        <v>27</v>
      </c>
      <c r="I1289" t="s">
        <v>181</v>
      </c>
      <c r="J1289" t="s">
        <v>18</v>
      </c>
      <c r="K1289" t="s">
        <v>19</v>
      </c>
    </row>
    <row r="1290" spans="1:11">
      <c r="A1290" s="1">
        <v>46068</v>
      </c>
      <c r="B1290" t="s">
        <v>63</v>
      </c>
      <c r="C1290" t="s">
        <v>64</v>
      </c>
      <c r="D1290" t="s">
        <v>68</v>
      </c>
      <c r="E1290" t="s">
        <v>180</v>
      </c>
      <c r="F1290" t="s">
        <v>26</v>
      </c>
      <c r="G1290" s="2">
        <v>96.01000000000001</v>
      </c>
      <c r="H1290" t="s">
        <v>27</v>
      </c>
      <c r="I1290" t="s">
        <v>181</v>
      </c>
      <c r="J1290" t="s">
        <v>18</v>
      </c>
      <c r="K1290" t="s">
        <v>19</v>
      </c>
    </row>
    <row r="1291" spans="1:11">
      <c r="A1291" s="1">
        <v>46068</v>
      </c>
      <c r="B1291" t="s">
        <v>63</v>
      </c>
      <c r="C1291" t="s">
        <v>64</v>
      </c>
      <c r="D1291" t="s">
        <v>68</v>
      </c>
      <c r="E1291" t="s">
        <v>182</v>
      </c>
      <c r="F1291" t="s">
        <v>26</v>
      </c>
      <c r="G1291" s="2">
        <v>69.5</v>
      </c>
      <c r="H1291" t="s">
        <v>27</v>
      </c>
      <c r="I1291" t="s">
        <v>181</v>
      </c>
      <c r="J1291" t="s">
        <v>18</v>
      </c>
      <c r="K1291" t="s">
        <v>19</v>
      </c>
    </row>
    <row r="1292" spans="1:11">
      <c r="A1292" s="1">
        <v>46068</v>
      </c>
      <c r="B1292" t="s">
        <v>63</v>
      </c>
      <c r="C1292" t="s">
        <v>64</v>
      </c>
      <c r="D1292" t="s">
        <v>68</v>
      </c>
      <c r="E1292" t="s">
        <v>183</v>
      </c>
      <c r="F1292" t="s">
        <v>26</v>
      </c>
      <c r="G1292" s="2">
        <v>111.28</v>
      </c>
      <c r="H1292" t="s">
        <v>27</v>
      </c>
      <c r="I1292" t="s">
        <v>181</v>
      </c>
      <c r="J1292" t="s">
        <v>18</v>
      </c>
      <c r="K1292" t="s">
        <v>19</v>
      </c>
    </row>
    <row r="1293" spans="1:11">
      <c r="A1293" s="1">
        <v>46068</v>
      </c>
      <c r="B1293" t="s">
        <v>63</v>
      </c>
      <c r="C1293" t="s">
        <v>64</v>
      </c>
      <c r="D1293" t="s">
        <v>68</v>
      </c>
      <c r="E1293" t="s">
        <v>187</v>
      </c>
      <c r="F1293" t="s">
        <v>185</v>
      </c>
      <c r="G1293" s="2">
        <v>180</v>
      </c>
      <c r="H1293" t="s">
        <v>27</v>
      </c>
      <c r="I1293" t="s">
        <v>181</v>
      </c>
      <c r="J1293" t="s">
        <v>18</v>
      </c>
      <c r="K1293" t="s">
        <v>19</v>
      </c>
    </row>
    <row r="1294" spans="1:11">
      <c r="A1294" s="1">
        <v>46068</v>
      </c>
      <c r="B1294" t="s">
        <v>63</v>
      </c>
      <c r="C1294" t="s">
        <v>64</v>
      </c>
      <c r="D1294" t="s">
        <v>68</v>
      </c>
      <c r="E1294" t="s">
        <v>25</v>
      </c>
      <c r="F1294" t="s">
        <v>26</v>
      </c>
      <c r="G1294" s="2">
        <v>116.6</v>
      </c>
      <c r="H1294" t="s">
        <v>27</v>
      </c>
      <c r="I1294" t="s">
        <v>181</v>
      </c>
      <c r="J1294" t="s">
        <v>18</v>
      </c>
      <c r="K1294" t="s">
        <v>19</v>
      </c>
    </row>
    <row r="1295" spans="1:11">
      <c r="A1295" s="1">
        <v>46068</v>
      </c>
      <c r="B1295" t="s">
        <v>63</v>
      </c>
      <c r="C1295" t="s">
        <v>64</v>
      </c>
      <c r="D1295" t="s">
        <v>68</v>
      </c>
      <c r="E1295" t="s">
        <v>184</v>
      </c>
      <c r="F1295" t="s">
        <v>185</v>
      </c>
      <c r="G1295" s="2">
        <v>247.11</v>
      </c>
      <c r="H1295" t="s">
        <v>27</v>
      </c>
      <c r="I1295" t="s">
        <v>181</v>
      </c>
      <c r="J1295" t="s">
        <v>18</v>
      </c>
      <c r="K1295" t="s">
        <v>19</v>
      </c>
    </row>
    <row r="1296" spans="1:11">
      <c r="A1296" s="1">
        <v>46068</v>
      </c>
      <c r="B1296" t="s">
        <v>63</v>
      </c>
      <c r="C1296" t="s">
        <v>64</v>
      </c>
      <c r="D1296" t="s">
        <v>68</v>
      </c>
      <c r="E1296" t="s">
        <v>186</v>
      </c>
      <c r="F1296" t="s">
        <v>26</v>
      </c>
      <c r="G1296" s="2">
        <v>114.87</v>
      </c>
      <c r="H1296" t="s">
        <v>27</v>
      </c>
      <c r="I1296" t="s">
        <v>181</v>
      </c>
      <c r="J1296" t="s">
        <v>18</v>
      </c>
      <c r="K1296" t="s">
        <v>19</v>
      </c>
    </row>
    <row r="1297" spans="1:11">
      <c r="A1297" s="1">
        <v>46068</v>
      </c>
      <c r="B1297" t="s">
        <v>63</v>
      </c>
      <c r="C1297" t="s">
        <v>64</v>
      </c>
      <c r="D1297" t="s">
        <v>71</v>
      </c>
      <c r="E1297" t="s">
        <v>180</v>
      </c>
      <c r="F1297" t="s">
        <v>26</v>
      </c>
      <c r="G1297" s="2">
        <v>90.83</v>
      </c>
      <c r="H1297" t="s">
        <v>27</v>
      </c>
      <c r="I1297" t="s">
        <v>181</v>
      </c>
      <c r="J1297" t="s">
        <v>18</v>
      </c>
      <c r="K1297" t="s">
        <v>19</v>
      </c>
    </row>
    <row r="1298" spans="1:11">
      <c r="A1298" s="1">
        <v>46068</v>
      </c>
      <c r="B1298" t="s">
        <v>63</v>
      </c>
      <c r="C1298" t="s">
        <v>64</v>
      </c>
      <c r="D1298" t="s">
        <v>71</v>
      </c>
      <c r="E1298" t="s">
        <v>182</v>
      </c>
      <c r="F1298" t="s">
        <v>26</v>
      </c>
      <c r="G1298" s="2">
        <v>71.67</v>
      </c>
      <c r="H1298" t="s">
        <v>27</v>
      </c>
      <c r="I1298" t="s">
        <v>181</v>
      </c>
      <c r="J1298" t="s">
        <v>18</v>
      </c>
      <c r="K1298" t="s">
        <v>19</v>
      </c>
    </row>
    <row r="1299" spans="1:11">
      <c r="A1299" s="1">
        <v>46068</v>
      </c>
      <c r="B1299" t="s">
        <v>63</v>
      </c>
      <c r="C1299" t="s">
        <v>64</v>
      </c>
      <c r="D1299" t="s">
        <v>71</v>
      </c>
      <c r="E1299" t="s">
        <v>183</v>
      </c>
      <c r="F1299" t="s">
        <v>26</v>
      </c>
      <c r="G1299" s="2">
        <v>100.24</v>
      </c>
      <c r="H1299" t="s">
        <v>27</v>
      </c>
      <c r="I1299" t="s">
        <v>181</v>
      </c>
      <c r="J1299" t="s">
        <v>18</v>
      </c>
      <c r="K1299" t="s">
        <v>19</v>
      </c>
    </row>
    <row r="1300" spans="1:11">
      <c r="A1300" s="1">
        <v>46068</v>
      </c>
      <c r="B1300" t="s">
        <v>63</v>
      </c>
      <c r="C1300" t="s">
        <v>64</v>
      </c>
      <c r="D1300" t="s">
        <v>71</v>
      </c>
      <c r="E1300" t="s">
        <v>25</v>
      </c>
      <c r="F1300" t="s">
        <v>26</v>
      </c>
      <c r="G1300" s="2">
        <v>111.08</v>
      </c>
      <c r="H1300" t="s">
        <v>27</v>
      </c>
      <c r="I1300" t="s">
        <v>181</v>
      </c>
      <c r="J1300" t="s">
        <v>18</v>
      </c>
      <c r="K1300" t="s">
        <v>19</v>
      </c>
    </row>
    <row r="1301" spans="1:11">
      <c r="A1301" s="1">
        <v>46068</v>
      </c>
      <c r="B1301" t="s">
        <v>63</v>
      </c>
      <c r="C1301" t="s">
        <v>64</v>
      </c>
      <c r="D1301" t="s">
        <v>71</v>
      </c>
      <c r="E1301" t="s">
        <v>184</v>
      </c>
      <c r="F1301" t="s">
        <v>185</v>
      </c>
      <c r="G1301" s="2">
        <v>274.92</v>
      </c>
      <c r="H1301" t="s">
        <v>27</v>
      </c>
      <c r="I1301" t="s">
        <v>181</v>
      </c>
      <c r="J1301" t="s">
        <v>18</v>
      </c>
      <c r="K1301" t="s">
        <v>19</v>
      </c>
    </row>
    <row r="1302" spans="1:11">
      <c r="A1302" s="1">
        <v>46068</v>
      </c>
      <c r="B1302" t="s">
        <v>63</v>
      </c>
      <c r="C1302" t="s">
        <v>64</v>
      </c>
      <c r="D1302" t="s">
        <v>71</v>
      </c>
      <c r="E1302" t="s">
        <v>186</v>
      </c>
      <c r="F1302" t="s">
        <v>26</v>
      </c>
      <c r="G1302" s="2">
        <v>119.16</v>
      </c>
      <c r="H1302" t="s">
        <v>27</v>
      </c>
      <c r="I1302" t="s">
        <v>181</v>
      </c>
      <c r="J1302" t="s">
        <v>18</v>
      </c>
      <c r="K1302" t="s">
        <v>19</v>
      </c>
    </row>
    <row r="1303" spans="1:11">
      <c r="A1303" s="1">
        <v>46068</v>
      </c>
      <c r="B1303" t="s">
        <v>63</v>
      </c>
      <c r="C1303" t="s">
        <v>64</v>
      </c>
      <c r="D1303" t="s">
        <v>72</v>
      </c>
      <c r="E1303" t="s">
        <v>180</v>
      </c>
      <c r="F1303" t="s">
        <v>26</v>
      </c>
      <c r="G1303" s="2">
        <v>97.90000000000001</v>
      </c>
      <c r="H1303" t="s">
        <v>27</v>
      </c>
      <c r="I1303" t="s">
        <v>181</v>
      </c>
      <c r="J1303" t="s">
        <v>18</v>
      </c>
      <c r="K1303" t="s">
        <v>19</v>
      </c>
    </row>
    <row r="1304" spans="1:11">
      <c r="A1304" s="1">
        <v>46068</v>
      </c>
      <c r="B1304" t="s">
        <v>63</v>
      </c>
      <c r="C1304" t="s">
        <v>64</v>
      </c>
      <c r="D1304" t="s">
        <v>72</v>
      </c>
      <c r="E1304" t="s">
        <v>182</v>
      </c>
      <c r="F1304" t="s">
        <v>26</v>
      </c>
      <c r="G1304" s="2">
        <v>71.06999999999999</v>
      </c>
      <c r="H1304" t="s">
        <v>27</v>
      </c>
      <c r="I1304" t="s">
        <v>181</v>
      </c>
      <c r="J1304" t="s">
        <v>18</v>
      </c>
      <c r="K1304" t="s">
        <v>19</v>
      </c>
    </row>
    <row r="1305" spans="1:11">
      <c r="A1305" s="1">
        <v>46068</v>
      </c>
      <c r="B1305" t="s">
        <v>63</v>
      </c>
      <c r="C1305" t="s">
        <v>64</v>
      </c>
      <c r="D1305" t="s">
        <v>72</v>
      </c>
      <c r="E1305" t="s">
        <v>183</v>
      </c>
      <c r="F1305" t="s">
        <v>26</v>
      </c>
      <c r="G1305" s="2">
        <v>119.52</v>
      </c>
      <c r="H1305" t="s">
        <v>27</v>
      </c>
      <c r="I1305" t="s">
        <v>181</v>
      </c>
      <c r="J1305" t="s">
        <v>18</v>
      </c>
      <c r="K1305" t="s">
        <v>19</v>
      </c>
    </row>
    <row r="1306" spans="1:11">
      <c r="A1306" s="1">
        <v>46068</v>
      </c>
      <c r="B1306" t="s">
        <v>63</v>
      </c>
      <c r="C1306" t="s">
        <v>64</v>
      </c>
      <c r="D1306" t="s">
        <v>72</v>
      </c>
      <c r="E1306" t="s">
        <v>25</v>
      </c>
      <c r="F1306" t="s">
        <v>26</v>
      </c>
      <c r="G1306" s="2">
        <v>119.71</v>
      </c>
      <c r="H1306" t="s">
        <v>27</v>
      </c>
      <c r="I1306" t="s">
        <v>181</v>
      </c>
      <c r="J1306" t="s">
        <v>18</v>
      </c>
      <c r="K1306" t="s">
        <v>19</v>
      </c>
    </row>
    <row r="1307" spans="1:11">
      <c r="A1307" s="1">
        <v>46068</v>
      </c>
      <c r="B1307" t="s">
        <v>63</v>
      </c>
      <c r="C1307" t="s">
        <v>64</v>
      </c>
      <c r="D1307" t="s">
        <v>72</v>
      </c>
      <c r="E1307" t="s">
        <v>184</v>
      </c>
      <c r="F1307" t="s">
        <v>185</v>
      </c>
      <c r="G1307" s="2">
        <v>247.6</v>
      </c>
      <c r="H1307" t="s">
        <v>27</v>
      </c>
      <c r="I1307" t="s">
        <v>181</v>
      </c>
      <c r="J1307" t="s">
        <v>18</v>
      </c>
      <c r="K1307" t="s">
        <v>19</v>
      </c>
    </row>
    <row r="1308" spans="1:11">
      <c r="A1308" s="1">
        <v>46068</v>
      </c>
      <c r="B1308" t="s">
        <v>63</v>
      </c>
      <c r="C1308" t="s">
        <v>64</v>
      </c>
      <c r="D1308" t="s">
        <v>72</v>
      </c>
      <c r="E1308" t="s">
        <v>186</v>
      </c>
      <c r="F1308" t="s">
        <v>26</v>
      </c>
      <c r="G1308" s="2">
        <v>120.75</v>
      </c>
      <c r="H1308" t="s">
        <v>27</v>
      </c>
      <c r="I1308" t="s">
        <v>181</v>
      </c>
      <c r="J1308" t="s">
        <v>18</v>
      </c>
      <c r="K1308" t="s">
        <v>19</v>
      </c>
    </row>
    <row r="1309" spans="1:11">
      <c r="A1309" s="1">
        <v>46096</v>
      </c>
      <c r="B1309" t="s">
        <v>63</v>
      </c>
      <c r="C1309" t="s">
        <v>64</v>
      </c>
      <c r="D1309" t="s">
        <v>68</v>
      </c>
      <c r="E1309" t="s">
        <v>180</v>
      </c>
      <c r="F1309" t="s">
        <v>26</v>
      </c>
      <c r="G1309" s="2">
        <v>106.06</v>
      </c>
      <c r="H1309" t="s">
        <v>27</v>
      </c>
      <c r="I1309" t="s">
        <v>181</v>
      </c>
      <c r="J1309" t="s">
        <v>18</v>
      </c>
      <c r="K1309" t="s">
        <v>19</v>
      </c>
    </row>
    <row r="1310" spans="1:11">
      <c r="A1310" s="1">
        <v>46096</v>
      </c>
      <c r="B1310" t="s">
        <v>63</v>
      </c>
      <c r="C1310" t="s">
        <v>64</v>
      </c>
      <c r="D1310" t="s">
        <v>68</v>
      </c>
      <c r="E1310" t="s">
        <v>182</v>
      </c>
      <c r="F1310" t="s">
        <v>26</v>
      </c>
      <c r="G1310" s="2">
        <v>82.20999999999999</v>
      </c>
      <c r="H1310" t="s">
        <v>27</v>
      </c>
      <c r="I1310" t="s">
        <v>181</v>
      </c>
      <c r="J1310" t="s">
        <v>18</v>
      </c>
      <c r="K1310" t="s">
        <v>19</v>
      </c>
    </row>
    <row r="1311" spans="1:11">
      <c r="A1311" s="1">
        <v>46096</v>
      </c>
      <c r="B1311" t="s">
        <v>63</v>
      </c>
      <c r="C1311" t="s">
        <v>64</v>
      </c>
      <c r="D1311" t="s">
        <v>68</v>
      </c>
      <c r="E1311" t="s">
        <v>183</v>
      </c>
      <c r="F1311" t="s">
        <v>26</v>
      </c>
      <c r="G1311" s="2">
        <v>122.56</v>
      </c>
      <c r="H1311" t="s">
        <v>27</v>
      </c>
      <c r="I1311" t="s">
        <v>181</v>
      </c>
      <c r="J1311" t="s">
        <v>18</v>
      </c>
      <c r="K1311" t="s">
        <v>19</v>
      </c>
    </row>
    <row r="1312" spans="1:11">
      <c r="A1312" s="1">
        <v>46096</v>
      </c>
      <c r="B1312" t="s">
        <v>63</v>
      </c>
      <c r="C1312" t="s">
        <v>64</v>
      </c>
      <c r="D1312" t="s">
        <v>68</v>
      </c>
      <c r="E1312" t="s">
        <v>187</v>
      </c>
      <c r="F1312" t="s">
        <v>185</v>
      </c>
      <c r="G1312" s="2">
        <v>180</v>
      </c>
      <c r="H1312" t="s">
        <v>27</v>
      </c>
      <c r="I1312" t="s">
        <v>181</v>
      </c>
      <c r="J1312" t="s">
        <v>18</v>
      </c>
      <c r="K1312" t="s">
        <v>19</v>
      </c>
    </row>
    <row r="1313" spans="1:11">
      <c r="A1313" s="1">
        <v>46096</v>
      </c>
      <c r="B1313" t="s">
        <v>63</v>
      </c>
      <c r="C1313" t="s">
        <v>64</v>
      </c>
      <c r="D1313" t="s">
        <v>68</v>
      </c>
      <c r="E1313" t="s">
        <v>184</v>
      </c>
      <c r="F1313" t="s">
        <v>185</v>
      </c>
      <c r="G1313" s="2">
        <v>253.73</v>
      </c>
      <c r="H1313" t="s">
        <v>27</v>
      </c>
      <c r="I1313" t="s">
        <v>181</v>
      </c>
      <c r="J1313" t="s">
        <v>18</v>
      </c>
      <c r="K1313" t="s">
        <v>19</v>
      </c>
    </row>
    <row r="1314" spans="1:11">
      <c r="A1314" s="1">
        <v>46096</v>
      </c>
      <c r="B1314" t="s">
        <v>63</v>
      </c>
      <c r="C1314" t="s">
        <v>64</v>
      </c>
      <c r="D1314" t="s">
        <v>68</v>
      </c>
      <c r="E1314" t="s">
        <v>186</v>
      </c>
      <c r="F1314" t="s">
        <v>26</v>
      </c>
      <c r="G1314" s="2">
        <v>132.5</v>
      </c>
      <c r="H1314" t="s">
        <v>27</v>
      </c>
      <c r="I1314" t="s">
        <v>181</v>
      </c>
      <c r="J1314" t="s">
        <v>18</v>
      </c>
      <c r="K1314" t="s">
        <v>19</v>
      </c>
    </row>
    <row r="1315" spans="1:11">
      <c r="A1315" s="1">
        <v>46096</v>
      </c>
      <c r="B1315" t="s">
        <v>63</v>
      </c>
      <c r="C1315" t="s">
        <v>64</v>
      </c>
      <c r="D1315" t="s">
        <v>71</v>
      </c>
      <c r="E1315" t="s">
        <v>180</v>
      </c>
      <c r="F1315" t="s">
        <v>26</v>
      </c>
      <c r="G1315" s="2">
        <v>99.59999999999999</v>
      </c>
      <c r="H1315" t="s">
        <v>27</v>
      </c>
      <c r="I1315" t="s">
        <v>181</v>
      </c>
      <c r="J1315" t="s">
        <v>18</v>
      </c>
      <c r="K1315" t="s">
        <v>19</v>
      </c>
    </row>
    <row r="1316" spans="1:11">
      <c r="A1316" s="1">
        <v>46096</v>
      </c>
      <c r="B1316" t="s">
        <v>63</v>
      </c>
      <c r="C1316" t="s">
        <v>64</v>
      </c>
      <c r="D1316" t="s">
        <v>71</v>
      </c>
      <c r="E1316" t="s">
        <v>182</v>
      </c>
      <c r="F1316" t="s">
        <v>26</v>
      </c>
      <c r="G1316" s="2">
        <v>85.22</v>
      </c>
      <c r="H1316" t="s">
        <v>27</v>
      </c>
      <c r="I1316" t="s">
        <v>181</v>
      </c>
      <c r="J1316" t="s">
        <v>18</v>
      </c>
      <c r="K1316" t="s">
        <v>19</v>
      </c>
    </row>
    <row r="1317" spans="1:11">
      <c r="A1317" s="1">
        <v>46096</v>
      </c>
      <c r="B1317" t="s">
        <v>63</v>
      </c>
      <c r="C1317" t="s">
        <v>64</v>
      </c>
      <c r="D1317" t="s">
        <v>71</v>
      </c>
      <c r="E1317" t="s">
        <v>183</v>
      </c>
      <c r="F1317" t="s">
        <v>26</v>
      </c>
      <c r="G1317" s="2">
        <v>108.83</v>
      </c>
      <c r="H1317" t="s">
        <v>27</v>
      </c>
      <c r="I1317" t="s">
        <v>181</v>
      </c>
      <c r="J1317" t="s">
        <v>18</v>
      </c>
      <c r="K1317" t="s">
        <v>19</v>
      </c>
    </row>
    <row r="1318" spans="1:11">
      <c r="A1318" s="1">
        <v>46096</v>
      </c>
      <c r="B1318" t="s">
        <v>63</v>
      </c>
      <c r="C1318" t="s">
        <v>64</v>
      </c>
      <c r="D1318" t="s">
        <v>71</v>
      </c>
      <c r="E1318" t="s">
        <v>184</v>
      </c>
      <c r="F1318" t="s">
        <v>185</v>
      </c>
      <c r="G1318" s="2">
        <v>258.05</v>
      </c>
      <c r="H1318" t="s">
        <v>27</v>
      </c>
      <c r="I1318" t="s">
        <v>181</v>
      </c>
      <c r="J1318" t="s">
        <v>18</v>
      </c>
      <c r="K1318" t="s">
        <v>19</v>
      </c>
    </row>
    <row r="1319" spans="1:11">
      <c r="A1319" s="1">
        <v>46096</v>
      </c>
      <c r="B1319" t="s">
        <v>63</v>
      </c>
      <c r="C1319" t="s">
        <v>64</v>
      </c>
      <c r="D1319" t="s">
        <v>71</v>
      </c>
      <c r="E1319" t="s">
        <v>186</v>
      </c>
      <c r="F1319" t="s">
        <v>26</v>
      </c>
      <c r="G1319" s="2">
        <v>121.7</v>
      </c>
      <c r="H1319" t="s">
        <v>27</v>
      </c>
      <c r="I1319" t="s">
        <v>181</v>
      </c>
      <c r="J1319" t="s">
        <v>18</v>
      </c>
      <c r="K1319" t="s">
        <v>19</v>
      </c>
    </row>
    <row r="1320" spans="1:11">
      <c r="A1320" s="1">
        <v>46096</v>
      </c>
      <c r="B1320" t="s">
        <v>63</v>
      </c>
      <c r="C1320" t="s">
        <v>64</v>
      </c>
      <c r="D1320" t="s">
        <v>72</v>
      </c>
      <c r="E1320" t="s">
        <v>182</v>
      </c>
      <c r="F1320" t="s">
        <v>26</v>
      </c>
      <c r="G1320" s="2">
        <v>87.16</v>
      </c>
      <c r="H1320" t="s">
        <v>27</v>
      </c>
      <c r="I1320" t="s">
        <v>181</v>
      </c>
      <c r="J1320" t="s">
        <v>18</v>
      </c>
      <c r="K1320" t="s">
        <v>19</v>
      </c>
    </row>
    <row r="1321" spans="1:11">
      <c r="A1321" s="1">
        <v>46096</v>
      </c>
      <c r="B1321" t="s">
        <v>63</v>
      </c>
      <c r="C1321" t="s">
        <v>64</v>
      </c>
      <c r="D1321" t="s">
        <v>72</v>
      </c>
      <c r="E1321" t="s">
        <v>183</v>
      </c>
      <c r="F1321" t="s">
        <v>26</v>
      </c>
      <c r="G1321" s="2">
        <v>110.8</v>
      </c>
      <c r="H1321" t="s">
        <v>27</v>
      </c>
      <c r="I1321" t="s">
        <v>181</v>
      </c>
      <c r="J1321" t="s">
        <v>18</v>
      </c>
      <c r="K1321" t="s">
        <v>19</v>
      </c>
    </row>
    <row r="1322" spans="1:11">
      <c r="A1322" s="1">
        <v>46096</v>
      </c>
      <c r="B1322" t="s">
        <v>63</v>
      </c>
      <c r="C1322" t="s">
        <v>64</v>
      </c>
      <c r="D1322" t="s">
        <v>72</v>
      </c>
      <c r="E1322" t="s">
        <v>187</v>
      </c>
      <c r="F1322" t="s">
        <v>185</v>
      </c>
      <c r="G1322" s="2">
        <v>203.26</v>
      </c>
      <c r="H1322" t="s">
        <v>27</v>
      </c>
      <c r="I1322" t="s">
        <v>181</v>
      </c>
      <c r="J1322" t="s">
        <v>18</v>
      </c>
      <c r="K1322" t="s">
        <v>19</v>
      </c>
    </row>
    <row r="1323" spans="1:11">
      <c r="A1323" s="1">
        <v>46096</v>
      </c>
      <c r="B1323" t="s">
        <v>63</v>
      </c>
      <c r="C1323" t="s">
        <v>64</v>
      </c>
      <c r="D1323" t="s">
        <v>72</v>
      </c>
      <c r="E1323" t="s">
        <v>184</v>
      </c>
      <c r="F1323" t="s">
        <v>185</v>
      </c>
      <c r="G1323" s="2">
        <v>264.44</v>
      </c>
      <c r="H1323" t="s">
        <v>27</v>
      </c>
      <c r="I1323" t="s">
        <v>181</v>
      </c>
      <c r="J1323" t="s">
        <v>18</v>
      </c>
      <c r="K1323" t="s">
        <v>19</v>
      </c>
    </row>
    <row r="1324" spans="1:11">
      <c r="A1324" s="1">
        <v>46096</v>
      </c>
      <c r="B1324" t="s">
        <v>63</v>
      </c>
      <c r="C1324" t="s">
        <v>64</v>
      </c>
      <c r="D1324" t="s">
        <v>72</v>
      </c>
      <c r="E1324" t="s">
        <v>186</v>
      </c>
      <c r="F1324" t="s">
        <v>26</v>
      </c>
      <c r="G1324" s="2">
        <v>118.77</v>
      </c>
      <c r="H1324" t="s">
        <v>27</v>
      </c>
      <c r="I1324" t="s">
        <v>181</v>
      </c>
      <c r="J1324" t="s">
        <v>18</v>
      </c>
      <c r="K1324" t="s">
        <v>19</v>
      </c>
    </row>
    <row r="1325" spans="1:11">
      <c r="A1325" s="1">
        <v>46096</v>
      </c>
      <c r="B1325" t="s">
        <v>90</v>
      </c>
      <c r="C1325" t="s">
        <v>104</v>
      </c>
      <c r="D1325" t="s">
        <v>108</v>
      </c>
      <c r="E1325" t="s">
        <v>180</v>
      </c>
      <c r="F1325" t="s">
        <v>26</v>
      </c>
      <c r="G1325" s="2">
        <v>80</v>
      </c>
      <c r="H1325" t="s">
        <v>27</v>
      </c>
      <c r="I1325" t="s">
        <v>181</v>
      </c>
      <c r="J1325" t="s">
        <v>18</v>
      </c>
      <c r="K1325" t="s">
        <v>19</v>
      </c>
    </row>
    <row r="1326" spans="1:11">
      <c r="A1326" s="1">
        <v>46096</v>
      </c>
      <c r="B1326" t="s">
        <v>90</v>
      </c>
      <c r="C1326" t="s">
        <v>104</v>
      </c>
      <c r="D1326" t="s">
        <v>108</v>
      </c>
      <c r="E1326" t="s">
        <v>182</v>
      </c>
      <c r="F1326" t="s">
        <v>26</v>
      </c>
      <c r="G1326" s="2">
        <v>85</v>
      </c>
      <c r="H1326" t="s">
        <v>27</v>
      </c>
      <c r="I1326" t="s">
        <v>181</v>
      </c>
      <c r="J1326" t="s">
        <v>18</v>
      </c>
      <c r="K1326" t="s">
        <v>19</v>
      </c>
    </row>
    <row r="1327" spans="1:11">
      <c r="A1327" s="1">
        <v>46096</v>
      </c>
      <c r="B1327" t="s">
        <v>90</v>
      </c>
      <c r="C1327" t="s">
        <v>104</v>
      </c>
      <c r="D1327" t="s">
        <v>108</v>
      </c>
      <c r="E1327" t="s">
        <v>183</v>
      </c>
      <c r="F1327" t="s">
        <v>26</v>
      </c>
      <c r="G1327" s="2">
        <v>90</v>
      </c>
      <c r="H1327" t="s">
        <v>27</v>
      </c>
      <c r="I1327" t="s">
        <v>181</v>
      </c>
      <c r="J1327" t="s">
        <v>18</v>
      </c>
      <c r="K1327" t="s">
        <v>19</v>
      </c>
    </row>
    <row r="1328" spans="1:11">
      <c r="A1328" s="1">
        <v>46096</v>
      </c>
      <c r="B1328" t="s">
        <v>90</v>
      </c>
      <c r="C1328" t="s">
        <v>104</v>
      </c>
      <c r="D1328" t="s">
        <v>108</v>
      </c>
      <c r="E1328" t="s">
        <v>184</v>
      </c>
      <c r="F1328" t="s">
        <v>185</v>
      </c>
      <c r="G1328" s="2">
        <v>280</v>
      </c>
      <c r="H1328" t="s">
        <v>27</v>
      </c>
      <c r="I1328" t="s">
        <v>181</v>
      </c>
      <c r="J1328" t="s">
        <v>18</v>
      </c>
      <c r="K1328" t="s">
        <v>19</v>
      </c>
    </row>
    <row r="1329" spans="1:11">
      <c r="A1329" s="1">
        <v>46096</v>
      </c>
      <c r="B1329" t="s">
        <v>90</v>
      </c>
      <c r="C1329" t="s">
        <v>104</v>
      </c>
      <c r="D1329" t="s">
        <v>108</v>
      </c>
      <c r="E1329" t="s">
        <v>186</v>
      </c>
      <c r="F1329" t="s">
        <v>26</v>
      </c>
      <c r="G1329" s="2">
        <v>150</v>
      </c>
      <c r="H1329" t="s">
        <v>27</v>
      </c>
      <c r="I1329" t="s">
        <v>181</v>
      </c>
      <c r="J1329" t="s">
        <v>18</v>
      </c>
      <c r="K1329" t="s">
        <v>19</v>
      </c>
    </row>
    <row r="1330" spans="1:11">
      <c r="A1330" s="1">
        <v>46096</v>
      </c>
      <c r="B1330" t="s">
        <v>90</v>
      </c>
      <c r="C1330" t="s">
        <v>104</v>
      </c>
      <c r="D1330" t="s">
        <v>109</v>
      </c>
      <c r="E1330" t="s">
        <v>180</v>
      </c>
      <c r="F1330" t="s">
        <v>26</v>
      </c>
      <c r="G1330" s="2">
        <v>80</v>
      </c>
      <c r="H1330" t="s">
        <v>27</v>
      </c>
      <c r="I1330" t="s">
        <v>181</v>
      </c>
      <c r="J1330" t="s">
        <v>18</v>
      </c>
      <c r="K1330" t="s">
        <v>19</v>
      </c>
    </row>
    <row r="1331" spans="1:11">
      <c r="A1331" s="1">
        <v>46096</v>
      </c>
      <c r="B1331" t="s">
        <v>90</v>
      </c>
      <c r="C1331" t="s">
        <v>104</v>
      </c>
      <c r="D1331" t="s">
        <v>109</v>
      </c>
      <c r="E1331" t="s">
        <v>182</v>
      </c>
      <c r="F1331" t="s">
        <v>26</v>
      </c>
      <c r="G1331" s="2">
        <v>100</v>
      </c>
      <c r="H1331" t="s">
        <v>27</v>
      </c>
      <c r="I1331" t="s">
        <v>181</v>
      </c>
      <c r="J1331" t="s">
        <v>18</v>
      </c>
      <c r="K1331" t="s">
        <v>19</v>
      </c>
    </row>
    <row r="1332" spans="1:11">
      <c r="A1332" s="1">
        <v>46096</v>
      </c>
      <c r="B1332" t="s">
        <v>90</v>
      </c>
      <c r="C1332" t="s">
        <v>104</v>
      </c>
      <c r="D1332" t="s">
        <v>109</v>
      </c>
      <c r="E1332" t="s">
        <v>183</v>
      </c>
      <c r="F1332" t="s">
        <v>26</v>
      </c>
      <c r="G1332" s="2">
        <v>170</v>
      </c>
      <c r="H1332" t="s">
        <v>27</v>
      </c>
      <c r="I1332" t="s">
        <v>181</v>
      </c>
      <c r="J1332" t="s">
        <v>18</v>
      </c>
      <c r="K1332" t="s">
        <v>19</v>
      </c>
    </row>
    <row r="1333" spans="1:11">
      <c r="A1333" s="1">
        <v>46096</v>
      </c>
      <c r="B1333" t="s">
        <v>90</v>
      </c>
      <c r="C1333" t="s">
        <v>104</v>
      </c>
      <c r="D1333" t="s">
        <v>109</v>
      </c>
      <c r="E1333" t="s">
        <v>184</v>
      </c>
      <c r="F1333" t="s">
        <v>185</v>
      </c>
      <c r="G1333" s="2">
        <v>260</v>
      </c>
      <c r="H1333" t="s">
        <v>27</v>
      </c>
      <c r="I1333" t="s">
        <v>181</v>
      </c>
      <c r="J1333" t="s">
        <v>18</v>
      </c>
      <c r="K1333" t="s">
        <v>19</v>
      </c>
    </row>
    <row r="1334" spans="1:11">
      <c r="A1334" s="1">
        <v>46096</v>
      </c>
      <c r="B1334" t="s">
        <v>90</v>
      </c>
      <c r="C1334" t="s">
        <v>104</v>
      </c>
      <c r="D1334" t="s">
        <v>109</v>
      </c>
      <c r="E1334" t="s">
        <v>186</v>
      </c>
      <c r="F1334" t="s">
        <v>26</v>
      </c>
      <c r="G1334" s="2">
        <v>150</v>
      </c>
      <c r="H1334" t="s">
        <v>27</v>
      </c>
      <c r="I1334" t="s">
        <v>181</v>
      </c>
      <c r="J1334" t="s">
        <v>18</v>
      </c>
      <c r="K1334" t="s">
        <v>19</v>
      </c>
    </row>
    <row r="1335" spans="1:11">
      <c r="A1335" s="1">
        <v>46096</v>
      </c>
      <c r="B1335" t="s">
        <v>90</v>
      </c>
      <c r="C1335" t="s">
        <v>104</v>
      </c>
      <c r="D1335" t="s">
        <v>112</v>
      </c>
      <c r="E1335" t="s">
        <v>180</v>
      </c>
      <c r="F1335" t="s">
        <v>26</v>
      </c>
      <c r="G1335" s="2">
        <v>80</v>
      </c>
      <c r="H1335" t="s">
        <v>27</v>
      </c>
      <c r="I1335" t="s">
        <v>181</v>
      </c>
      <c r="J1335" t="s">
        <v>18</v>
      </c>
      <c r="K1335" t="s">
        <v>19</v>
      </c>
    </row>
    <row r="1336" spans="1:11">
      <c r="A1336" s="1">
        <v>46096</v>
      </c>
      <c r="B1336" t="s">
        <v>90</v>
      </c>
      <c r="C1336" t="s">
        <v>104</v>
      </c>
      <c r="D1336" t="s">
        <v>112</v>
      </c>
      <c r="E1336" t="s">
        <v>182</v>
      </c>
      <c r="F1336" t="s">
        <v>26</v>
      </c>
      <c r="G1336" s="2">
        <v>80</v>
      </c>
      <c r="H1336" t="s">
        <v>27</v>
      </c>
      <c r="I1336" t="s">
        <v>181</v>
      </c>
      <c r="J1336" t="s">
        <v>18</v>
      </c>
      <c r="K1336" t="s">
        <v>19</v>
      </c>
    </row>
    <row r="1337" spans="1:11">
      <c r="A1337" s="1">
        <v>46096</v>
      </c>
      <c r="B1337" t="s">
        <v>90</v>
      </c>
      <c r="C1337" t="s">
        <v>104</v>
      </c>
      <c r="D1337" t="s">
        <v>112</v>
      </c>
      <c r="E1337" t="s">
        <v>183</v>
      </c>
      <c r="F1337" t="s">
        <v>26</v>
      </c>
      <c r="G1337" s="2">
        <v>100</v>
      </c>
      <c r="H1337" t="s">
        <v>27</v>
      </c>
      <c r="I1337" t="s">
        <v>181</v>
      </c>
      <c r="J1337" t="s">
        <v>18</v>
      </c>
      <c r="K1337" t="s">
        <v>19</v>
      </c>
    </row>
    <row r="1338" spans="1:11">
      <c r="A1338" s="1">
        <v>46096</v>
      </c>
      <c r="B1338" t="s">
        <v>90</v>
      </c>
      <c r="C1338" t="s">
        <v>104</v>
      </c>
      <c r="D1338" t="s">
        <v>112</v>
      </c>
      <c r="E1338" t="s">
        <v>184</v>
      </c>
      <c r="F1338" t="s">
        <v>185</v>
      </c>
      <c r="G1338" s="2">
        <v>300</v>
      </c>
      <c r="H1338" t="s">
        <v>27</v>
      </c>
      <c r="I1338" t="s">
        <v>181</v>
      </c>
      <c r="J1338" t="s">
        <v>18</v>
      </c>
      <c r="K1338" t="s">
        <v>19</v>
      </c>
    </row>
    <row r="1339" spans="1:11">
      <c r="A1339" s="1">
        <v>46096</v>
      </c>
      <c r="B1339" t="s">
        <v>90</v>
      </c>
      <c r="C1339" t="s">
        <v>104</v>
      </c>
      <c r="D1339" t="s">
        <v>112</v>
      </c>
      <c r="E1339" t="s">
        <v>186</v>
      </c>
      <c r="F1339" t="s">
        <v>26</v>
      </c>
      <c r="G1339" s="2">
        <v>140</v>
      </c>
      <c r="H1339" t="s">
        <v>27</v>
      </c>
      <c r="I1339" t="s">
        <v>181</v>
      </c>
      <c r="J1339" t="s">
        <v>18</v>
      </c>
      <c r="K1339" t="s">
        <v>19</v>
      </c>
    </row>
    <row r="1340" spans="1:11">
      <c r="A1340" s="1">
        <v>46096</v>
      </c>
      <c r="B1340" t="s">
        <v>90</v>
      </c>
      <c r="C1340" t="s">
        <v>104</v>
      </c>
      <c r="D1340" t="s">
        <v>113</v>
      </c>
      <c r="E1340" t="s">
        <v>180</v>
      </c>
      <c r="F1340" t="s">
        <v>26</v>
      </c>
      <c r="G1340" s="2">
        <v>80</v>
      </c>
      <c r="H1340" t="s">
        <v>27</v>
      </c>
      <c r="I1340" t="s">
        <v>181</v>
      </c>
      <c r="J1340" t="s">
        <v>18</v>
      </c>
      <c r="K1340" t="s">
        <v>19</v>
      </c>
    </row>
    <row r="1341" spans="1:11">
      <c r="A1341" s="1">
        <v>46096</v>
      </c>
      <c r="B1341" t="s">
        <v>90</v>
      </c>
      <c r="C1341" t="s">
        <v>104</v>
      </c>
      <c r="D1341" t="s">
        <v>113</v>
      </c>
      <c r="E1341" t="s">
        <v>182</v>
      </c>
      <c r="F1341" t="s">
        <v>26</v>
      </c>
      <c r="G1341" s="2">
        <v>85</v>
      </c>
      <c r="H1341" t="s">
        <v>27</v>
      </c>
      <c r="I1341" t="s">
        <v>181</v>
      </c>
      <c r="J1341" t="s">
        <v>18</v>
      </c>
      <c r="K1341" t="s">
        <v>19</v>
      </c>
    </row>
    <row r="1342" spans="1:11">
      <c r="A1342" s="1">
        <v>46096</v>
      </c>
      <c r="B1342" t="s">
        <v>90</v>
      </c>
      <c r="C1342" t="s">
        <v>104</v>
      </c>
      <c r="D1342" t="s">
        <v>113</v>
      </c>
      <c r="E1342" t="s">
        <v>183</v>
      </c>
      <c r="F1342" t="s">
        <v>26</v>
      </c>
      <c r="G1342" s="2">
        <v>156.67</v>
      </c>
      <c r="H1342" t="s">
        <v>27</v>
      </c>
      <c r="I1342" t="s">
        <v>181</v>
      </c>
      <c r="J1342" t="s">
        <v>18</v>
      </c>
      <c r="K1342" t="s">
        <v>19</v>
      </c>
    </row>
    <row r="1343" spans="1:11">
      <c r="A1343" s="1">
        <v>46096</v>
      </c>
      <c r="B1343" t="s">
        <v>90</v>
      </c>
      <c r="C1343" t="s">
        <v>104</v>
      </c>
      <c r="D1343" t="s">
        <v>113</v>
      </c>
      <c r="E1343" t="s">
        <v>184</v>
      </c>
      <c r="F1343" t="s">
        <v>185</v>
      </c>
      <c r="G1343" s="2">
        <v>260</v>
      </c>
      <c r="H1343" t="s">
        <v>27</v>
      </c>
      <c r="I1343" t="s">
        <v>181</v>
      </c>
      <c r="J1343" t="s">
        <v>18</v>
      </c>
      <c r="K1343" t="s">
        <v>19</v>
      </c>
    </row>
    <row r="1344" spans="1:11">
      <c r="A1344" s="1">
        <v>46096</v>
      </c>
      <c r="B1344" t="s">
        <v>90</v>
      </c>
      <c r="C1344" t="s">
        <v>104</v>
      </c>
      <c r="D1344" t="s">
        <v>113</v>
      </c>
      <c r="E1344" t="s">
        <v>186</v>
      </c>
      <c r="F1344" t="s">
        <v>26</v>
      </c>
      <c r="G1344" s="2">
        <v>130</v>
      </c>
      <c r="H1344" t="s">
        <v>27</v>
      </c>
      <c r="I1344" t="s">
        <v>181</v>
      </c>
      <c r="J1344" t="s">
        <v>18</v>
      </c>
      <c r="K1344" t="s">
        <v>19</v>
      </c>
    </row>
    <row r="1345" spans="1:11">
      <c r="A1345" s="1">
        <v>46096</v>
      </c>
      <c r="B1345" t="s">
        <v>90</v>
      </c>
      <c r="C1345" t="s">
        <v>104</v>
      </c>
      <c r="D1345" t="s">
        <v>114</v>
      </c>
      <c r="E1345" t="s">
        <v>180</v>
      </c>
      <c r="F1345" t="s">
        <v>26</v>
      </c>
      <c r="G1345" s="2">
        <v>76.67</v>
      </c>
      <c r="H1345" t="s">
        <v>27</v>
      </c>
      <c r="I1345" t="s">
        <v>181</v>
      </c>
      <c r="J1345" t="s">
        <v>18</v>
      </c>
      <c r="K1345" t="s">
        <v>19</v>
      </c>
    </row>
    <row r="1346" spans="1:11">
      <c r="A1346" s="1">
        <v>46096</v>
      </c>
      <c r="B1346" t="s">
        <v>90</v>
      </c>
      <c r="C1346" t="s">
        <v>104</v>
      </c>
      <c r="D1346" t="s">
        <v>114</v>
      </c>
      <c r="E1346" t="s">
        <v>183</v>
      </c>
      <c r="F1346" t="s">
        <v>26</v>
      </c>
      <c r="G1346" s="2">
        <v>110</v>
      </c>
      <c r="H1346" t="s">
        <v>27</v>
      </c>
      <c r="I1346" t="s">
        <v>181</v>
      </c>
      <c r="J1346" t="s">
        <v>18</v>
      </c>
      <c r="K1346" t="s">
        <v>19</v>
      </c>
    </row>
    <row r="1347" spans="1:11">
      <c r="A1347" s="1">
        <v>46096</v>
      </c>
      <c r="B1347" t="s">
        <v>90</v>
      </c>
      <c r="C1347" t="s">
        <v>104</v>
      </c>
      <c r="D1347" t="s">
        <v>114</v>
      </c>
      <c r="E1347" t="s">
        <v>184</v>
      </c>
      <c r="F1347" t="s">
        <v>185</v>
      </c>
      <c r="G1347" s="2">
        <v>293.33</v>
      </c>
      <c r="H1347" t="s">
        <v>27</v>
      </c>
      <c r="I1347" t="s">
        <v>181</v>
      </c>
      <c r="J1347" t="s">
        <v>18</v>
      </c>
      <c r="K1347" t="s">
        <v>19</v>
      </c>
    </row>
    <row r="1348" spans="1:11">
      <c r="A1348" s="1">
        <v>46096</v>
      </c>
      <c r="B1348" t="s">
        <v>90</v>
      </c>
      <c r="C1348" t="s">
        <v>104</v>
      </c>
      <c r="D1348" t="s">
        <v>114</v>
      </c>
      <c r="E1348" t="s">
        <v>186</v>
      </c>
      <c r="F1348" t="s">
        <v>26</v>
      </c>
      <c r="G1348" s="2">
        <v>120</v>
      </c>
      <c r="H1348" t="s">
        <v>27</v>
      </c>
      <c r="I1348" t="s">
        <v>181</v>
      </c>
      <c r="J1348" t="s">
        <v>18</v>
      </c>
      <c r="K1348" t="s">
        <v>19</v>
      </c>
    </row>
    <row r="1349" spans="1:11">
      <c r="A1349" s="1">
        <v>46096</v>
      </c>
      <c r="B1349" t="s">
        <v>90</v>
      </c>
      <c r="C1349" t="s">
        <v>104</v>
      </c>
      <c r="D1349" t="s">
        <v>118</v>
      </c>
      <c r="E1349" t="s">
        <v>180</v>
      </c>
      <c r="F1349" t="s">
        <v>26</v>
      </c>
      <c r="G1349" s="2">
        <v>70</v>
      </c>
      <c r="H1349" t="s">
        <v>27</v>
      </c>
      <c r="I1349" t="s">
        <v>181</v>
      </c>
      <c r="J1349" t="s">
        <v>18</v>
      </c>
      <c r="K1349" t="s">
        <v>19</v>
      </c>
    </row>
    <row r="1350" spans="1:11">
      <c r="A1350" s="1">
        <v>46096</v>
      </c>
      <c r="B1350" t="s">
        <v>90</v>
      </c>
      <c r="C1350" t="s">
        <v>104</v>
      </c>
      <c r="D1350" t="s">
        <v>118</v>
      </c>
      <c r="E1350" t="s">
        <v>182</v>
      </c>
      <c r="F1350" t="s">
        <v>26</v>
      </c>
      <c r="G1350" s="2">
        <v>100</v>
      </c>
      <c r="H1350" t="s">
        <v>27</v>
      </c>
      <c r="I1350" t="s">
        <v>181</v>
      </c>
      <c r="J1350" t="s">
        <v>18</v>
      </c>
      <c r="K1350" t="s">
        <v>19</v>
      </c>
    </row>
    <row r="1351" spans="1:11">
      <c r="A1351" s="1">
        <v>46096</v>
      </c>
      <c r="B1351" t="s">
        <v>90</v>
      </c>
      <c r="C1351" t="s">
        <v>104</v>
      </c>
      <c r="D1351" t="s">
        <v>118</v>
      </c>
      <c r="E1351" t="s">
        <v>183</v>
      </c>
      <c r="F1351" t="s">
        <v>26</v>
      </c>
      <c r="G1351" s="2">
        <v>120</v>
      </c>
      <c r="H1351" t="s">
        <v>27</v>
      </c>
      <c r="I1351" t="s">
        <v>181</v>
      </c>
      <c r="J1351" t="s">
        <v>18</v>
      </c>
      <c r="K1351" t="s">
        <v>19</v>
      </c>
    </row>
    <row r="1352" spans="1:11">
      <c r="A1352" s="1">
        <v>46096</v>
      </c>
      <c r="B1352" t="s">
        <v>90</v>
      </c>
      <c r="C1352" t="s">
        <v>104</v>
      </c>
      <c r="D1352" t="s">
        <v>118</v>
      </c>
      <c r="E1352" t="s">
        <v>184</v>
      </c>
      <c r="F1352" t="s">
        <v>185</v>
      </c>
      <c r="G1352" s="2">
        <v>270</v>
      </c>
      <c r="H1352" t="s">
        <v>27</v>
      </c>
      <c r="I1352" t="s">
        <v>181</v>
      </c>
      <c r="J1352" t="s">
        <v>18</v>
      </c>
      <c r="K1352" t="s">
        <v>19</v>
      </c>
    </row>
    <row r="1353" spans="1:11">
      <c r="A1353" s="1">
        <v>46096</v>
      </c>
      <c r="B1353" t="s">
        <v>90</v>
      </c>
      <c r="C1353" t="s">
        <v>104</v>
      </c>
      <c r="D1353" t="s">
        <v>118</v>
      </c>
      <c r="E1353" t="s">
        <v>186</v>
      </c>
      <c r="F1353" t="s">
        <v>26</v>
      </c>
      <c r="G1353" s="2">
        <v>100</v>
      </c>
      <c r="H1353" t="s">
        <v>27</v>
      </c>
      <c r="I1353" t="s">
        <v>181</v>
      </c>
      <c r="J1353" t="s">
        <v>18</v>
      </c>
      <c r="K1353" t="s">
        <v>19</v>
      </c>
    </row>
    <row r="1354" spans="1:11">
      <c r="A1354" s="1">
        <v>46096</v>
      </c>
      <c r="B1354" t="s">
        <v>90</v>
      </c>
      <c r="C1354" t="s">
        <v>104</v>
      </c>
      <c r="D1354" t="s">
        <v>119</v>
      </c>
      <c r="E1354" t="s">
        <v>180</v>
      </c>
      <c r="F1354" t="s">
        <v>26</v>
      </c>
      <c r="G1354" s="2">
        <v>80</v>
      </c>
      <c r="H1354" t="s">
        <v>27</v>
      </c>
      <c r="I1354" t="s">
        <v>181</v>
      </c>
      <c r="J1354" t="s">
        <v>18</v>
      </c>
      <c r="K1354" t="s">
        <v>19</v>
      </c>
    </row>
    <row r="1355" spans="1:11">
      <c r="A1355" s="1">
        <v>46096</v>
      </c>
      <c r="B1355" t="s">
        <v>90</v>
      </c>
      <c r="C1355" t="s">
        <v>104</v>
      </c>
      <c r="D1355" t="s">
        <v>119</v>
      </c>
      <c r="E1355" t="s">
        <v>182</v>
      </c>
      <c r="F1355" t="s">
        <v>26</v>
      </c>
      <c r="G1355" s="2">
        <v>100</v>
      </c>
      <c r="H1355" t="s">
        <v>27</v>
      </c>
      <c r="I1355" t="s">
        <v>181</v>
      </c>
      <c r="J1355" t="s">
        <v>18</v>
      </c>
      <c r="K1355" t="s">
        <v>19</v>
      </c>
    </row>
    <row r="1356" spans="1:11">
      <c r="A1356" s="1">
        <v>46096</v>
      </c>
      <c r="B1356" t="s">
        <v>90</v>
      </c>
      <c r="C1356" t="s">
        <v>104</v>
      </c>
      <c r="D1356" t="s">
        <v>119</v>
      </c>
      <c r="E1356" t="s">
        <v>183</v>
      </c>
      <c r="F1356" t="s">
        <v>26</v>
      </c>
      <c r="G1356" s="2">
        <v>125</v>
      </c>
      <c r="H1356" t="s">
        <v>27</v>
      </c>
      <c r="I1356" t="s">
        <v>181</v>
      </c>
      <c r="J1356" t="s">
        <v>18</v>
      </c>
      <c r="K1356" t="s">
        <v>19</v>
      </c>
    </row>
    <row r="1357" spans="1:11">
      <c r="A1357" s="1">
        <v>46096</v>
      </c>
      <c r="B1357" t="s">
        <v>90</v>
      </c>
      <c r="C1357" t="s">
        <v>104</v>
      </c>
      <c r="D1357" t="s">
        <v>119</v>
      </c>
      <c r="E1357" t="s">
        <v>184</v>
      </c>
      <c r="F1357" t="s">
        <v>185</v>
      </c>
      <c r="G1357" s="2">
        <v>300</v>
      </c>
      <c r="H1357" t="s">
        <v>27</v>
      </c>
      <c r="I1357" t="s">
        <v>181</v>
      </c>
      <c r="J1357" t="s">
        <v>18</v>
      </c>
      <c r="K1357" t="s">
        <v>19</v>
      </c>
    </row>
    <row r="1358" spans="1:11">
      <c r="A1358" s="1">
        <v>46096</v>
      </c>
      <c r="B1358" t="s">
        <v>90</v>
      </c>
      <c r="C1358" t="s">
        <v>104</v>
      </c>
      <c r="D1358" t="s">
        <v>119</v>
      </c>
      <c r="E1358" t="s">
        <v>186</v>
      </c>
      <c r="F1358" t="s">
        <v>26</v>
      </c>
      <c r="G1358" s="2">
        <v>100</v>
      </c>
      <c r="H1358" t="s">
        <v>27</v>
      </c>
      <c r="I1358" t="s">
        <v>181</v>
      </c>
      <c r="J1358" t="s">
        <v>18</v>
      </c>
      <c r="K1358" t="s">
        <v>19</v>
      </c>
    </row>
    <row r="1359" spans="1:11">
      <c r="A1359" s="1">
        <v>46096</v>
      </c>
      <c r="B1359" t="s">
        <v>90</v>
      </c>
      <c r="C1359" t="s">
        <v>104</v>
      </c>
      <c r="D1359" t="s">
        <v>120</v>
      </c>
      <c r="E1359" t="s">
        <v>180</v>
      </c>
      <c r="F1359" t="s">
        <v>26</v>
      </c>
      <c r="G1359" s="2">
        <v>80</v>
      </c>
      <c r="H1359" t="s">
        <v>27</v>
      </c>
      <c r="I1359" t="s">
        <v>181</v>
      </c>
      <c r="J1359" t="s">
        <v>18</v>
      </c>
      <c r="K1359" t="s">
        <v>19</v>
      </c>
    </row>
    <row r="1360" spans="1:11">
      <c r="A1360" s="1">
        <v>46096</v>
      </c>
      <c r="B1360" t="s">
        <v>90</v>
      </c>
      <c r="C1360" t="s">
        <v>104</v>
      </c>
      <c r="D1360" t="s">
        <v>120</v>
      </c>
      <c r="E1360" t="s">
        <v>182</v>
      </c>
      <c r="F1360" t="s">
        <v>26</v>
      </c>
      <c r="G1360" s="2">
        <v>70</v>
      </c>
      <c r="H1360" t="s">
        <v>27</v>
      </c>
      <c r="I1360" t="s">
        <v>181</v>
      </c>
      <c r="J1360" t="s">
        <v>18</v>
      </c>
      <c r="K1360" t="s">
        <v>19</v>
      </c>
    </row>
    <row r="1361" spans="1:11">
      <c r="A1361" s="1">
        <v>46096</v>
      </c>
      <c r="B1361" t="s">
        <v>90</v>
      </c>
      <c r="C1361" t="s">
        <v>104</v>
      </c>
      <c r="D1361" t="s">
        <v>120</v>
      </c>
      <c r="E1361" t="s">
        <v>183</v>
      </c>
      <c r="F1361" t="s">
        <v>26</v>
      </c>
      <c r="G1361" s="2">
        <v>100</v>
      </c>
      <c r="H1361" t="s">
        <v>27</v>
      </c>
      <c r="I1361" t="s">
        <v>181</v>
      </c>
      <c r="J1361" t="s">
        <v>18</v>
      </c>
      <c r="K1361" t="s">
        <v>19</v>
      </c>
    </row>
    <row r="1362" spans="1:11">
      <c r="A1362" s="1">
        <v>46096</v>
      </c>
      <c r="B1362" t="s">
        <v>90</v>
      </c>
      <c r="C1362" t="s">
        <v>104</v>
      </c>
      <c r="D1362" t="s">
        <v>120</v>
      </c>
      <c r="E1362" t="s">
        <v>184</v>
      </c>
      <c r="F1362" t="s">
        <v>185</v>
      </c>
      <c r="G1362" s="2">
        <v>300</v>
      </c>
      <c r="H1362" t="s">
        <v>27</v>
      </c>
      <c r="I1362" t="s">
        <v>181</v>
      </c>
      <c r="J1362" t="s">
        <v>18</v>
      </c>
      <c r="K1362" t="s">
        <v>19</v>
      </c>
    </row>
    <row r="1363" spans="1:11">
      <c r="A1363" s="1">
        <v>46096</v>
      </c>
      <c r="B1363" t="s">
        <v>90</v>
      </c>
      <c r="C1363" t="s">
        <v>104</v>
      </c>
      <c r="D1363" t="s">
        <v>120</v>
      </c>
      <c r="E1363" t="s">
        <v>186</v>
      </c>
      <c r="F1363" t="s">
        <v>26</v>
      </c>
      <c r="G1363" s="2">
        <v>100</v>
      </c>
      <c r="H1363" t="s">
        <v>27</v>
      </c>
      <c r="I1363" t="s">
        <v>181</v>
      </c>
      <c r="J1363" t="s">
        <v>18</v>
      </c>
      <c r="K1363" t="s">
        <v>19</v>
      </c>
    </row>
    <row r="1364" spans="1:11">
      <c r="A1364" s="1">
        <v>46096</v>
      </c>
      <c r="B1364" t="s">
        <v>90</v>
      </c>
      <c r="C1364" t="s">
        <v>104</v>
      </c>
      <c r="D1364" t="s">
        <v>157</v>
      </c>
      <c r="E1364" t="s">
        <v>180</v>
      </c>
      <c r="F1364" t="s">
        <v>26</v>
      </c>
      <c r="G1364" s="2">
        <v>90</v>
      </c>
      <c r="H1364" t="s">
        <v>27</v>
      </c>
      <c r="I1364" t="s">
        <v>181</v>
      </c>
      <c r="J1364" t="s">
        <v>18</v>
      </c>
      <c r="K1364" t="s">
        <v>19</v>
      </c>
    </row>
    <row r="1365" spans="1:11">
      <c r="A1365" s="1">
        <v>46096</v>
      </c>
      <c r="B1365" t="s">
        <v>90</v>
      </c>
      <c r="C1365" t="s">
        <v>104</v>
      </c>
      <c r="D1365" t="s">
        <v>157</v>
      </c>
      <c r="E1365" t="s">
        <v>182</v>
      </c>
      <c r="F1365" t="s">
        <v>26</v>
      </c>
      <c r="G1365" s="2">
        <v>80</v>
      </c>
      <c r="H1365" t="s">
        <v>27</v>
      </c>
      <c r="I1365" t="s">
        <v>181</v>
      </c>
      <c r="J1365" t="s">
        <v>18</v>
      </c>
      <c r="K1365" t="s">
        <v>19</v>
      </c>
    </row>
    <row r="1366" spans="1:11">
      <c r="A1366" s="1">
        <v>46096</v>
      </c>
      <c r="B1366" t="s">
        <v>90</v>
      </c>
      <c r="C1366" t="s">
        <v>104</v>
      </c>
      <c r="D1366" t="s">
        <v>157</v>
      </c>
      <c r="E1366" t="s">
        <v>183</v>
      </c>
      <c r="F1366" t="s">
        <v>26</v>
      </c>
      <c r="G1366" s="2">
        <v>160</v>
      </c>
      <c r="H1366" t="s">
        <v>27</v>
      </c>
      <c r="I1366" t="s">
        <v>181</v>
      </c>
      <c r="J1366" t="s">
        <v>18</v>
      </c>
      <c r="K1366" t="s">
        <v>19</v>
      </c>
    </row>
    <row r="1367" spans="1:11">
      <c r="A1367" s="1">
        <v>46096</v>
      </c>
      <c r="B1367" t="s">
        <v>90</v>
      </c>
      <c r="C1367" t="s">
        <v>104</v>
      </c>
      <c r="D1367" t="s">
        <v>157</v>
      </c>
      <c r="E1367" t="s">
        <v>25</v>
      </c>
      <c r="F1367" t="s">
        <v>26</v>
      </c>
      <c r="G1367" s="2">
        <v>160</v>
      </c>
      <c r="H1367" t="s">
        <v>27</v>
      </c>
      <c r="I1367" t="s">
        <v>181</v>
      </c>
      <c r="J1367" t="s">
        <v>18</v>
      </c>
      <c r="K1367" t="s">
        <v>19</v>
      </c>
    </row>
    <row r="1368" spans="1:11">
      <c r="A1368" s="1">
        <v>46096</v>
      </c>
      <c r="B1368" t="s">
        <v>90</v>
      </c>
      <c r="C1368" t="s">
        <v>104</v>
      </c>
      <c r="D1368" t="s">
        <v>157</v>
      </c>
      <c r="E1368" t="s">
        <v>184</v>
      </c>
      <c r="F1368" t="s">
        <v>185</v>
      </c>
      <c r="G1368" s="2">
        <v>300</v>
      </c>
      <c r="H1368" t="s">
        <v>27</v>
      </c>
      <c r="I1368" t="s">
        <v>181</v>
      </c>
      <c r="J1368" t="s">
        <v>18</v>
      </c>
      <c r="K1368" t="s">
        <v>19</v>
      </c>
    </row>
    <row r="1369" spans="1:11">
      <c r="A1369" s="1">
        <v>46096</v>
      </c>
      <c r="B1369" t="s">
        <v>90</v>
      </c>
      <c r="C1369" t="s">
        <v>104</v>
      </c>
      <c r="D1369" t="s">
        <v>157</v>
      </c>
      <c r="E1369" t="s">
        <v>186</v>
      </c>
      <c r="F1369" t="s">
        <v>26</v>
      </c>
      <c r="G1369" s="2">
        <v>170</v>
      </c>
      <c r="H1369" t="s">
        <v>27</v>
      </c>
      <c r="I1369" t="s">
        <v>181</v>
      </c>
      <c r="J1369" t="s">
        <v>18</v>
      </c>
      <c r="K1369" t="s">
        <v>19</v>
      </c>
    </row>
    <row r="1370" spans="1:11">
      <c r="A1370" s="1">
        <v>46127</v>
      </c>
      <c r="B1370" t="s">
        <v>63</v>
      </c>
      <c r="C1370" t="s">
        <v>64</v>
      </c>
      <c r="D1370" t="s">
        <v>68</v>
      </c>
      <c r="E1370" t="s">
        <v>180</v>
      </c>
      <c r="F1370" t="s">
        <v>26</v>
      </c>
      <c r="G1370" s="2">
        <v>100</v>
      </c>
      <c r="H1370" t="s">
        <v>27</v>
      </c>
      <c r="I1370" t="s">
        <v>181</v>
      </c>
      <c r="J1370" t="s">
        <v>18</v>
      </c>
      <c r="K1370" t="s">
        <v>19</v>
      </c>
    </row>
    <row r="1371" spans="1:11">
      <c r="A1371" s="1">
        <v>46127</v>
      </c>
      <c r="B1371" t="s">
        <v>63</v>
      </c>
      <c r="C1371" t="s">
        <v>64</v>
      </c>
      <c r="D1371" t="s">
        <v>68</v>
      </c>
      <c r="E1371" t="s">
        <v>183</v>
      </c>
      <c r="F1371" t="s">
        <v>26</v>
      </c>
      <c r="G1371" s="2">
        <v>125</v>
      </c>
      <c r="H1371" t="s">
        <v>27</v>
      </c>
      <c r="I1371" t="s">
        <v>181</v>
      </c>
      <c r="J1371" t="s">
        <v>18</v>
      </c>
      <c r="K1371" t="s">
        <v>19</v>
      </c>
    </row>
    <row r="1372" spans="1:11">
      <c r="A1372" s="1">
        <v>46127</v>
      </c>
      <c r="B1372" t="s">
        <v>63</v>
      </c>
      <c r="C1372" t="s">
        <v>64</v>
      </c>
      <c r="D1372" t="s">
        <v>68</v>
      </c>
      <c r="E1372" t="s">
        <v>187</v>
      </c>
      <c r="F1372" t="s">
        <v>185</v>
      </c>
      <c r="G1372" s="2">
        <v>180</v>
      </c>
      <c r="H1372" t="s">
        <v>27</v>
      </c>
      <c r="I1372" t="s">
        <v>181</v>
      </c>
      <c r="J1372" t="s">
        <v>18</v>
      </c>
      <c r="K1372" t="s">
        <v>19</v>
      </c>
    </row>
    <row r="1373" spans="1:11">
      <c r="A1373" s="1">
        <v>46127</v>
      </c>
      <c r="B1373" t="s">
        <v>63</v>
      </c>
      <c r="C1373" t="s">
        <v>64</v>
      </c>
      <c r="D1373" t="s">
        <v>68</v>
      </c>
      <c r="E1373" t="s">
        <v>25</v>
      </c>
      <c r="F1373" t="s">
        <v>26</v>
      </c>
      <c r="G1373" s="2">
        <v>140</v>
      </c>
      <c r="H1373" t="s">
        <v>27</v>
      </c>
      <c r="I1373" t="s">
        <v>181</v>
      </c>
      <c r="J1373" t="s">
        <v>18</v>
      </c>
      <c r="K1373" t="s">
        <v>19</v>
      </c>
    </row>
    <row r="1374" spans="1:11">
      <c r="A1374" s="1">
        <v>46127</v>
      </c>
      <c r="B1374" t="s">
        <v>63</v>
      </c>
      <c r="C1374" t="s">
        <v>64</v>
      </c>
      <c r="D1374" t="s">
        <v>68</v>
      </c>
      <c r="E1374" t="s">
        <v>184</v>
      </c>
      <c r="F1374" t="s">
        <v>185</v>
      </c>
      <c r="G1374" s="2">
        <v>250</v>
      </c>
      <c r="H1374" t="s">
        <v>27</v>
      </c>
      <c r="I1374" t="s">
        <v>181</v>
      </c>
      <c r="J1374" t="s">
        <v>18</v>
      </c>
      <c r="K1374" t="s">
        <v>19</v>
      </c>
    </row>
    <row r="1375" spans="1:11">
      <c r="A1375" s="1">
        <v>46127</v>
      </c>
      <c r="B1375" t="s">
        <v>63</v>
      </c>
      <c r="C1375" t="s">
        <v>64</v>
      </c>
      <c r="D1375" t="s">
        <v>68</v>
      </c>
      <c r="E1375" t="s">
        <v>186</v>
      </c>
      <c r="F1375" t="s">
        <v>26</v>
      </c>
      <c r="G1375" s="2">
        <v>135</v>
      </c>
      <c r="H1375" t="s">
        <v>27</v>
      </c>
      <c r="I1375" t="s">
        <v>181</v>
      </c>
      <c r="J1375" t="s">
        <v>18</v>
      </c>
      <c r="K1375" t="s">
        <v>19</v>
      </c>
    </row>
    <row r="1376" spans="1:11">
      <c r="A1376" s="1">
        <v>46127</v>
      </c>
      <c r="B1376" t="s">
        <v>63</v>
      </c>
      <c r="C1376" t="s">
        <v>64</v>
      </c>
      <c r="D1376" t="s">
        <v>71</v>
      </c>
      <c r="E1376" t="s">
        <v>180</v>
      </c>
      <c r="F1376" t="s">
        <v>26</v>
      </c>
      <c r="G1376" s="2">
        <v>100</v>
      </c>
      <c r="H1376" t="s">
        <v>27</v>
      </c>
      <c r="I1376" t="s">
        <v>181</v>
      </c>
      <c r="J1376" t="s">
        <v>18</v>
      </c>
      <c r="K1376" t="s">
        <v>19</v>
      </c>
    </row>
    <row r="1377" spans="1:11">
      <c r="A1377" s="1">
        <v>46127</v>
      </c>
      <c r="B1377" t="s">
        <v>63</v>
      </c>
      <c r="C1377" t="s">
        <v>64</v>
      </c>
      <c r="D1377" t="s">
        <v>71</v>
      </c>
      <c r="E1377" t="s">
        <v>182</v>
      </c>
      <c r="F1377" t="s">
        <v>26</v>
      </c>
      <c r="G1377" s="2">
        <v>76.67</v>
      </c>
      <c r="H1377" t="s">
        <v>27</v>
      </c>
      <c r="I1377" t="s">
        <v>181</v>
      </c>
      <c r="J1377" t="s">
        <v>18</v>
      </c>
      <c r="K1377" t="s">
        <v>19</v>
      </c>
    </row>
    <row r="1378" spans="1:11">
      <c r="A1378" s="1">
        <v>46127</v>
      </c>
      <c r="B1378" t="s">
        <v>63</v>
      </c>
      <c r="C1378" t="s">
        <v>64</v>
      </c>
      <c r="D1378" t="s">
        <v>71</v>
      </c>
      <c r="E1378" t="s">
        <v>183</v>
      </c>
      <c r="F1378" t="s">
        <v>26</v>
      </c>
      <c r="G1378" s="2">
        <v>107.5</v>
      </c>
      <c r="H1378" t="s">
        <v>27</v>
      </c>
      <c r="I1378" t="s">
        <v>181</v>
      </c>
      <c r="J1378" t="s">
        <v>18</v>
      </c>
      <c r="K1378" t="s">
        <v>19</v>
      </c>
    </row>
    <row r="1379" spans="1:11">
      <c r="A1379" s="1">
        <v>46127</v>
      </c>
      <c r="B1379" t="s">
        <v>63</v>
      </c>
      <c r="C1379" t="s">
        <v>64</v>
      </c>
      <c r="D1379" t="s">
        <v>71</v>
      </c>
      <c r="E1379" t="s">
        <v>25</v>
      </c>
      <c r="F1379" t="s">
        <v>26</v>
      </c>
      <c r="G1379" s="2">
        <v>122.5</v>
      </c>
      <c r="H1379" t="s">
        <v>27</v>
      </c>
      <c r="I1379" t="s">
        <v>181</v>
      </c>
      <c r="J1379" t="s">
        <v>18</v>
      </c>
      <c r="K1379" t="s">
        <v>19</v>
      </c>
    </row>
    <row r="1380" spans="1:11">
      <c r="A1380" s="1">
        <v>46127</v>
      </c>
      <c r="B1380" t="s">
        <v>63</v>
      </c>
      <c r="C1380" t="s">
        <v>64</v>
      </c>
      <c r="D1380" t="s">
        <v>71</v>
      </c>
      <c r="E1380" t="s">
        <v>184</v>
      </c>
      <c r="F1380" t="s">
        <v>185</v>
      </c>
      <c r="G1380" s="2">
        <v>280</v>
      </c>
      <c r="H1380" t="s">
        <v>27</v>
      </c>
      <c r="I1380" t="s">
        <v>181</v>
      </c>
      <c r="J1380" t="s">
        <v>18</v>
      </c>
      <c r="K1380" t="s">
        <v>19</v>
      </c>
    </row>
    <row r="1381" spans="1:11">
      <c r="A1381" s="1">
        <v>46127</v>
      </c>
      <c r="B1381" t="s">
        <v>63</v>
      </c>
      <c r="C1381" t="s">
        <v>64</v>
      </c>
      <c r="D1381" t="s">
        <v>71</v>
      </c>
      <c r="E1381" t="s">
        <v>186</v>
      </c>
      <c r="F1381" t="s">
        <v>26</v>
      </c>
      <c r="G1381" s="2">
        <v>122.5</v>
      </c>
      <c r="H1381" t="s">
        <v>27</v>
      </c>
      <c r="I1381" t="s">
        <v>181</v>
      </c>
      <c r="J1381" t="s">
        <v>18</v>
      </c>
      <c r="K1381" t="s">
        <v>19</v>
      </c>
    </row>
    <row r="1382" spans="1:11">
      <c r="A1382" s="1">
        <v>46127</v>
      </c>
      <c r="B1382" t="s">
        <v>63</v>
      </c>
      <c r="C1382" t="s">
        <v>64</v>
      </c>
      <c r="D1382" t="s">
        <v>72</v>
      </c>
      <c r="E1382" t="s">
        <v>180</v>
      </c>
      <c r="F1382" t="s">
        <v>26</v>
      </c>
      <c r="G1382" s="2">
        <v>100</v>
      </c>
      <c r="H1382" t="s">
        <v>27</v>
      </c>
      <c r="I1382" t="s">
        <v>181</v>
      </c>
      <c r="J1382" t="s">
        <v>18</v>
      </c>
      <c r="K1382" t="s">
        <v>19</v>
      </c>
    </row>
    <row r="1383" spans="1:11">
      <c r="A1383" s="1">
        <v>46127</v>
      </c>
      <c r="B1383" t="s">
        <v>63</v>
      </c>
      <c r="C1383" t="s">
        <v>64</v>
      </c>
      <c r="D1383" t="s">
        <v>72</v>
      </c>
      <c r="E1383" t="s">
        <v>182</v>
      </c>
      <c r="F1383" t="s">
        <v>26</v>
      </c>
      <c r="G1383" s="2">
        <v>100.56</v>
      </c>
      <c r="H1383" t="s">
        <v>27</v>
      </c>
      <c r="I1383" t="s">
        <v>181</v>
      </c>
      <c r="J1383" t="s">
        <v>18</v>
      </c>
      <c r="K1383" t="s">
        <v>19</v>
      </c>
    </row>
    <row r="1384" spans="1:11">
      <c r="A1384" s="1">
        <v>46127</v>
      </c>
      <c r="B1384" t="s">
        <v>63</v>
      </c>
      <c r="C1384" t="s">
        <v>64</v>
      </c>
      <c r="D1384" t="s">
        <v>72</v>
      </c>
      <c r="E1384" t="s">
        <v>183</v>
      </c>
      <c r="F1384" t="s">
        <v>26</v>
      </c>
      <c r="G1384" s="2">
        <v>119.26</v>
      </c>
      <c r="H1384" t="s">
        <v>27</v>
      </c>
      <c r="I1384" t="s">
        <v>181</v>
      </c>
      <c r="J1384" t="s">
        <v>18</v>
      </c>
      <c r="K1384" t="s">
        <v>19</v>
      </c>
    </row>
    <row r="1385" spans="1:11">
      <c r="A1385" s="1">
        <v>46127</v>
      </c>
      <c r="B1385" t="s">
        <v>63</v>
      </c>
      <c r="C1385" t="s">
        <v>64</v>
      </c>
      <c r="D1385" t="s">
        <v>72</v>
      </c>
      <c r="E1385" t="s">
        <v>187</v>
      </c>
      <c r="F1385" t="s">
        <v>185</v>
      </c>
      <c r="G1385" s="2">
        <v>161.95</v>
      </c>
      <c r="H1385" t="s">
        <v>27</v>
      </c>
      <c r="I1385" t="s">
        <v>181</v>
      </c>
      <c r="J1385" t="s">
        <v>18</v>
      </c>
      <c r="K1385" t="s">
        <v>19</v>
      </c>
    </row>
    <row r="1386" spans="1:11">
      <c r="A1386" s="1">
        <v>46127</v>
      </c>
      <c r="B1386" t="s">
        <v>63</v>
      </c>
      <c r="C1386" t="s">
        <v>64</v>
      </c>
      <c r="D1386" t="s">
        <v>72</v>
      </c>
      <c r="E1386" t="s">
        <v>25</v>
      </c>
      <c r="F1386" t="s">
        <v>26</v>
      </c>
      <c r="G1386" s="2">
        <v>122.78</v>
      </c>
      <c r="H1386" t="s">
        <v>27</v>
      </c>
      <c r="I1386" t="s">
        <v>181</v>
      </c>
      <c r="J1386" t="s">
        <v>18</v>
      </c>
      <c r="K1386" t="s">
        <v>19</v>
      </c>
    </row>
    <row r="1387" spans="1:11">
      <c r="A1387" s="1">
        <v>46127</v>
      </c>
      <c r="B1387" t="s">
        <v>63</v>
      </c>
      <c r="C1387" t="s">
        <v>64</v>
      </c>
      <c r="D1387" t="s">
        <v>72</v>
      </c>
      <c r="E1387" t="s">
        <v>184</v>
      </c>
      <c r="F1387" t="s">
        <v>185</v>
      </c>
      <c r="G1387" s="2">
        <v>261.11</v>
      </c>
      <c r="H1387" t="s">
        <v>27</v>
      </c>
      <c r="I1387" t="s">
        <v>181</v>
      </c>
      <c r="J1387" t="s">
        <v>18</v>
      </c>
      <c r="K1387" t="s">
        <v>19</v>
      </c>
    </row>
    <row r="1388" spans="1:11">
      <c r="A1388" s="1">
        <v>46127</v>
      </c>
      <c r="B1388" t="s">
        <v>63</v>
      </c>
      <c r="C1388" t="s">
        <v>64</v>
      </c>
      <c r="D1388" t="s">
        <v>72</v>
      </c>
      <c r="E1388" t="s">
        <v>186</v>
      </c>
      <c r="F1388" t="s">
        <v>26</v>
      </c>
      <c r="G1388" s="2">
        <v>124.44</v>
      </c>
      <c r="H1388" t="s">
        <v>27</v>
      </c>
      <c r="I1388" t="s">
        <v>181</v>
      </c>
      <c r="J1388" t="s">
        <v>18</v>
      </c>
      <c r="K1388" t="s">
        <v>19</v>
      </c>
    </row>
    <row r="1389" spans="1:11">
      <c r="A1389" s="1">
        <v>46127</v>
      </c>
      <c r="B1389" t="s">
        <v>90</v>
      </c>
      <c r="C1389" t="s">
        <v>104</v>
      </c>
      <c r="D1389" t="s">
        <v>108</v>
      </c>
      <c r="E1389" t="s">
        <v>180</v>
      </c>
      <c r="F1389" t="s">
        <v>26</v>
      </c>
      <c r="G1389" s="2">
        <v>83.33</v>
      </c>
      <c r="H1389" t="s">
        <v>27</v>
      </c>
      <c r="I1389" t="s">
        <v>181</v>
      </c>
      <c r="J1389" t="s">
        <v>18</v>
      </c>
      <c r="K1389" t="s">
        <v>19</v>
      </c>
    </row>
    <row r="1390" spans="1:11">
      <c r="A1390" s="1">
        <v>46127</v>
      </c>
      <c r="B1390" t="s">
        <v>90</v>
      </c>
      <c r="C1390" t="s">
        <v>104</v>
      </c>
      <c r="D1390" t="s">
        <v>108</v>
      </c>
      <c r="E1390" t="s">
        <v>182</v>
      </c>
      <c r="F1390" t="s">
        <v>26</v>
      </c>
      <c r="G1390" s="2">
        <v>100</v>
      </c>
      <c r="H1390" t="s">
        <v>27</v>
      </c>
      <c r="I1390" t="s">
        <v>181</v>
      </c>
      <c r="J1390" t="s">
        <v>18</v>
      </c>
      <c r="K1390" t="s">
        <v>19</v>
      </c>
    </row>
    <row r="1391" spans="1:11">
      <c r="A1391" s="1">
        <v>46127</v>
      </c>
      <c r="B1391" t="s">
        <v>90</v>
      </c>
      <c r="C1391" t="s">
        <v>104</v>
      </c>
      <c r="D1391" t="s">
        <v>108</v>
      </c>
      <c r="E1391" t="s">
        <v>183</v>
      </c>
      <c r="F1391" t="s">
        <v>26</v>
      </c>
      <c r="G1391" s="2">
        <v>120</v>
      </c>
      <c r="H1391" t="s">
        <v>27</v>
      </c>
      <c r="I1391" t="s">
        <v>181</v>
      </c>
      <c r="J1391" t="s">
        <v>18</v>
      </c>
      <c r="K1391" t="s">
        <v>19</v>
      </c>
    </row>
    <row r="1392" spans="1:11">
      <c r="A1392" s="1">
        <v>46127</v>
      </c>
      <c r="B1392" t="s">
        <v>90</v>
      </c>
      <c r="C1392" t="s">
        <v>104</v>
      </c>
      <c r="D1392" t="s">
        <v>108</v>
      </c>
      <c r="E1392" t="s">
        <v>25</v>
      </c>
      <c r="F1392" t="s">
        <v>26</v>
      </c>
      <c r="G1392" s="2">
        <v>160</v>
      </c>
      <c r="H1392" t="s">
        <v>27</v>
      </c>
      <c r="I1392" t="s">
        <v>181</v>
      </c>
      <c r="J1392" t="s">
        <v>18</v>
      </c>
      <c r="K1392" t="s">
        <v>19</v>
      </c>
    </row>
    <row r="1393" spans="1:11">
      <c r="A1393" s="1">
        <v>46127</v>
      </c>
      <c r="B1393" t="s">
        <v>90</v>
      </c>
      <c r="C1393" t="s">
        <v>104</v>
      </c>
      <c r="D1393" t="s">
        <v>108</v>
      </c>
      <c r="E1393" t="s">
        <v>184</v>
      </c>
      <c r="F1393" t="s">
        <v>185</v>
      </c>
      <c r="G1393" s="2">
        <v>293.33</v>
      </c>
      <c r="H1393" t="s">
        <v>27</v>
      </c>
      <c r="I1393" t="s">
        <v>181</v>
      </c>
      <c r="J1393" t="s">
        <v>18</v>
      </c>
      <c r="K1393" t="s">
        <v>19</v>
      </c>
    </row>
    <row r="1394" spans="1:11">
      <c r="A1394" s="1">
        <v>46127</v>
      </c>
      <c r="B1394" t="s">
        <v>90</v>
      </c>
      <c r="C1394" t="s">
        <v>104</v>
      </c>
      <c r="D1394" t="s">
        <v>108</v>
      </c>
      <c r="E1394" t="s">
        <v>186</v>
      </c>
      <c r="F1394" t="s">
        <v>26</v>
      </c>
      <c r="G1394" s="2">
        <v>133.33</v>
      </c>
      <c r="H1394" t="s">
        <v>27</v>
      </c>
      <c r="I1394" t="s">
        <v>181</v>
      </c>
      <c r="J1394" t="s">
        <v>18</v>
      </c>
      <c r="K1394" t="s">
        <v>19</v>
      </c>
    </row>
    <row r="1395" spans="1:11">
      <c r="A1395" s="1">
        <v>46127</v>
      </c>
      <c r="B1395" t="s">
        <v>90</v>
      </c>
      <c r="C1395" t="s">
        <v>104</v>
      </c>
      <c r="D1395" t="s">
        <v>109</v>
      </c>
      <c r="E1395" t="s">
        <v>180</v>
      </c>
      <c r="F1395" t="s">
        <v>26</v>
      </c>
      <c r="G1395" s="2">
        <v>90</v>
      </c>
      <c r="H1395" t="s">
        <v>27</v>
      </c>
      <c r="I1395" t="s">
        <v>181</v>
      </c>
      <c r="J1395" t="s">
        <v>18</v>
      </c>
      <c r="K1395" t="s">
        <v>19</v>
      </c>
    </row>
    <row r="1396" spans="1:11">
      <c r="A1396" s="1">
        <v>46127</v>
      </c>
      <c r="B1396" t="s">
        <v>90</v>
      </c>
      <c r="C1396" t="s">
        <v>104</v>
      </c>
      <c r="D1396" t="s">
        <v>109</v>
      </c>
      <c r="E1396" t="s">
        <v>183</v>
      </c>
      <c r="F1396" t="s">
        <v>26</v>
      </c>
      <c r="G1396" s="2">
        <v>143.33</v>
      </c>
      <c r="H1396" t="s">
        <v>27</v>
      </c>
      <c r="I1396" t="s">
        <v>181</v>
      </c>
      <c r="J1396" t="s">
        <v>18</v>
      </c>
      <c r="K1396" t="s">
        <v>19</v>
      </c>
    </row>
    <row r="1397" spans="1:11">
      <c r="A1397" s="1">
        <v>46127</v>
      </c>
      <c r="B1397" t="s">
        <v>90</v>
      </c>
      <c r="C1397" t="s">
        <v>104</v>
      </c>
      <c r="D1397" t="s">
        <v>109</v>
      </c>
      <c r="E1397" t="s">
        <v>25</v>
      </c>
      <c r="F1397" t="s">
        <v>26</v>
      </c>
      <c r="G1397" s="2">
        <v>166.67</v>
      </c>
      <c r="H1397" t="s">
        <v>27</v>
      </c>
      <c r="I1397" t="s">
        <v>181</v>
      </c>
      <c r="J1397" t="s">
        <v>18</v>
      </c>
      <c r="K1397" t="s">
        <v>19</v>
      </c>
    </row>
    <row r="1398" spans="1:11">
      <c r="A1398" s="1">
        <v>46127</v>
      </c>
      <c r="B1398" t="s">
        <v>90</v>
      </c>
      <c r="C1398" t="s">
        <v>104</v>
      </c>
      <c r="D1398" t="s">
        <v>109</v>
      </c>
      <c r="E1398" t="s">
        <v>184</v>
      </c>
      <c r="F1398" t="s">
        <v>185</v>
      </c>
      <c r="G1398" s="2">
        <v>300</v>
      </c>
      <c r="H1398" t="s">
        <v>27</v>
      </c>
      <c r="I1398" t="s">
        <v>181</v>
      </c>
      <c r="J1398" t="s">
        <v>18</v>
      </c>
      <c r="K1398" t="s">
        <v>19</v>
      </c>
    </row>
    <row r="1399" spans="1:11">
      <c r="A1399" s="1">
        <v>46127</v>
      </c>
      <c r="B1399" t="s">
        <v>90</v>
      </c>
      <c r="C1399" t="s">
        <v>104</v>
      </c>
      <c r="D1399" t="s">
        <v>109</v>
      </c>
      <c r="E1399" t="s">
        <v>186</v>
      </c>
      <c r="F1399" t="s">
        <v>26</v>
      </c>
      <c r="G1399" s="2">
        <v>150</v>
      </c>
      <c r="H1399" t="s">
        <v>27</v>
      </c>
      <c r="I1399" t="s">
        <v>181</v>
      </c>
      <c r="J1399" t="s">
        <v>18</v>
      </c>
      <c r="K1399" t="s">
        <v>19</v>
      </c>
    </row>
    <row r="1400" spans="1:11">
      <c r="A1400" s="1">
        <v>46127</v>
      </c>
      <c r="B1400" t="s">
        <v>90</v>
      </c>
      <c r="C1400" t="s">
        <v>104</v>
      </c>
      <c r="D1400" t="s">
        <v>112</v>
      </c>
      <c r="E1400" t="s">
        <v>180</v>
      </c>
      <c r="F1400" t="s">
        <v>26</v>
      </c>
      <c r="G1400" s="2">
        <v>80</v>
      </c>
      <c r="H1400" t="s">
        <v>27</v>
      </c>
      <c r="I1400" t="s">
        <v>181</v>
      </c>
      <c r="J1400" t="s">
        <v>18</v>
      </c>
      <c r="K1400" t="s">
        <v>19</v>
      </c>
    </row>
    <row r="1401" spans="1:11">
      <c r="A1401" s="1">
        <v>46127</v>
      </c>
      <c r="B1401" t="s">
        <v>90</v>
      </c>
      <c r="C1401" t="s">
        <v>104</v>
      </c>
      <c r="D1401" t="s">
        <v>112</v>
      </c>
      <c r="E1401" t="s">
        <v>182</v>
      </c>
      <c r="F1401" t="s">
        <v>26</v>
      </c>
      <c r="G1401" s="2">
        <v>93.33</v>
      </c>
      <c r="H1401" t="s">
        <v>27</v>
      </c>
      <c r="I1401" t="s">
        <v>181</v>
      </c>
      <c r="J1401" t="s">
        <v>18</v>
      </c>
      <c r="K1401" t="s">
        <v>19</v>
      </c>
    </row>
    <row r="1402" spans="1:11">
      <c r="A1402" s="1">
        <v>46127</v>
      </c>
      <c r="B1402" t="s">
        <v>90</v>
      </c>
      <c r="C1402" t="s">
        <v>104</v>
      </c>
      <c r="D1402" t="s">
        <v>112</v>
      </c>
      <c r="E1402" t="s">
        <v>183</v>
      </c>
      <c r="F1402" t="s">
        <v>26</v>
      </c>
      <c r="G1402" s="2">
        <v>166.67</v>
      </c>
      <c r="H1402" t="s">
        <v>27</v>
      </c>
      <c r="I1402" t="s">
        <v>181</v>
      </c>
      <c r="J1402" t="s">
        <v>18</v>
      </c>
      <c r="K1402" t="s">
        <v>19</v>
      </c>
    </row>
    <row r="1403" spans="1:11">
      <c r="A1403" s="1">
        <v>46127</v>
      </c>
      <c r="B1403" t="s">
        <v>90</v>
      </c>
      <c r="C1403" t="s">
        <v>104</v>
      </c>
      <c r="D1403" t="s">
        <v>112</v>
      </c>
      <c r="E1403" t="s">
        <v>25</v>
      </c>
      <c r="F1403" t="s">
        <v>26</v>
      </c>
      <c r="G1403" s="2">
        <v>160</v>
      </c>
      <c r="H1403" t="s">
        <v>27</v>
      </c>
      <c r="I1403" t="s">
        <v>181</v>
      </c>
      <c r="J1403" t="s">
        <v>18</v>
      </c>
      <c r="K1403" t="s">
        <v>19</v>
      </c>
    </row>
    <row r="1404" spans="1:11">
      <c r="A1404" s="1">
        <v>46127</v>
      </c>
      <c r="B1404" t="s">
        <v>90</v>
      </c>
      <c r="C1404" t="s">
        <v>104</v>
      </c>
      <c r="D1404" t="s">
        <v>112</v>
      </c>
      <c r="E1404" t="s">
        <v>184</v>
      </c>
      <c r="F1404" t="s">
        <v>185</v>
      </c>
      <c r="G1404" s="2">
        <v>273.33</v>
      </c>
      <c r="H1404" t="s">
        <v>27</v>
      </c>
      <c r="I1404" t="s">
        <v>181</v>
      </c>
      <c r="J1404" t="s">
        <v>18</v>
      </c>
      <c r="K1404" t="s">
        <v>19</v>
      </c>
    </row>
    <row r="1405" spans="1:11">
      <c r="A1405" s="1">
        <v>46127</v>
      </c>
      <c r="B1405" t="s">
        <v>90</v>
      </c>
      <c r="C1405" t="s">
        <v>104</v>
      </c>
      <c r="D1405" t="s">
        <v>112</v>
      </c>
      <c r="E1405" t="s">
        <v>186</v>
      </c>
      <c r="F1405" t="s">
        <v>26</v>
      </c>
      <c r="G1405" s="2">
        <v>113.33</v>
      </c>
      <c r="H1405" t="s">
        <v>27</v>
      </c>
      <c r="I1405" t="s">
        <v>181</v>
      </c>
      <c r="J1405" t="s">
        <v>18</v>
      </c>
      <c r="K1405" t="s">
        <v>19</v>
      </c>
    </row>
    <row r="1406" spans="1:11">
      <c r="A1406" s="1">
        <v>46127</v>
      </c>
      <c r="B1406" t="s">
        <v>90</v>
      </c>
      <c r="C1406" t="s">
        <v>104</v>
      </c>
      <c r="D1406" t="s">
        <v>113</v>
      </c>
      <c r="E1406" t="s">
        <v>180</v>
      </c>
      <c r="F1406" t="s">
        <v>26</v>
      </c>
      <c r="G1406" s="2">
        <v>90</v>
      </c>
      <c r="H1406" t="s">
        <v>27</v>
      </c>
      <c r="I1406" t="s">
        <v>181</v>
      </c>
      <c r="J1406" t="s">
        <v>18</v>
      </c>
      <c r="K1406" t="s">
        <v>19</v>
      </c>
    </row>
    <row r="1407" spans="1:11">
      <c r="A1407" s="1">
        <v>46127</v>
      </c>
      <c r="B1407" t="s">
        <v>90</v>
      </c>
      <c r="C1407" t="s">
        <v>104</v>
      </c>
      <c r="D1407" t="s">
        <v>113</v>
      </c>
      <c r="E1407" t="s">
        <v>182</v>
      </c>
      <c r="F1407" t="s">
        <v>26</v>
      </c>
      <c r="G1407" s="2">
        <v>81.67</v>
      </c>
      <c r="H1407" t="s">
        <v>27</v>
      </c>
      <c r="I1407" t="s">
        <v>181</v>
      </c>
      <c r="J1407" t="s">
        <v>18</v>
      </c>
      <c r="K1407" t="s">
        <v>19</v>
      </c>
    </row>
    <row r="1408" spans="1:11">
      <c r="A1408" s="1">
        <v>46127</v>
      </c>
      <c r="B1408" t="s">
        <v>90</v>
      </c>
      <c r="C1408" t="s">
        <v>104</v>
      </c>
      <c r="D1408" t="s">
        <v>113</v>
      </c>
      <c r="E1408" t="s">
        <v>183</v>
      </c>
      <c r="F1408" t="s">
        <v>26</v>
      </c>
      <c r="G1408" s="2">
        <v>173.33</v>
      </c>
      <c r="H1408" t="s">
        <v>27</v>
      </c>
      <c r="I1408" t="s">
        <v>181</v>
      </c>
      <c r="J1408" t="s">
        <v>18</v>
      </c>
      <c r="K1408" t="s">
        <v>19</v>
      </c>
    </row>
    <row r="1409" spans="1:11">
      <c r="A1409" s="1">
        <v>46127</v>
      </c>
      <c r="B1409" t="s">
        <v>90</v>
      </c>
      <c r="C1409" t="s">
        <v>104</v>
      </c>
      <c r="D1409" t="s">
        <v>113</v>
      </c>
      <c r="E1409" t="s">
        <v>25</v>
      </c>
      <c r="F1409" t="s">
        <v>26</v>
      </c>
      <c r="G1409" s="2">
        <v>160</v>
      </c>
      <c r="H1409" t="s">
        <v>27</v>
      </c>
      <c r="I1409" t="s">
        <v>181</v>
      </c>
      <c r="J1409" t="s">
        <v>18</v>
      </c>
      <c r="K1409" t="s">
        <v>19</v>
      </c>
    </row>
    <row r="1410" spans="1:11">
      <c r="A1410" s="1">
        <v>46127</v>
      </c>
      <c r="B1410" t="s">
        <v>90</v>
      </c>
      <c r="C1410" t="s">
        <v>104</v>
      </c>
      <c r="D1410" t="s">
        <v>113</v>
      </c>
      <c r="E1410" t="s">
        <v>184</v>
      </c>
      <c r="F1410" t="s">
        <v>185</v>
      </c>
      <c r="G1410" s="2">
        <v>283.33</v>
      </c>
      <c r="H1410" t="s">
        <v>27</v>
      </c>
      <c r="I1410" t="s">
        <v>181</v>
      </c>
      <c r="J1410" t="s">
        <v>18</v>
      </c>
      <c r="K1410" t="s">
        <v>19</v>
      </c>
    </row>
    <row r="1411" spans="1:11">
      <c r="A1411" s="1">
        <v>46127</v>
      </c>
      <c r="B1411" t="s">
        <v>90</v>
      </c>
      <c r="C1411" t="s">
        <v>104</v>
      </c>
      <c r="D1411" t="s">
        <v>113</v>
      </c>
      <c r="E1411" t="s">
        <v>186</v>
      </c>
      <c r="F1411" t="s">
        <v>26</v>
      </c>
      <c r="G1411" s="2">
        <v>120</v>
      </c>
      <c r="H1411" t="s">
        <v>27</v>
      </c>
      <c r="I1411" t="s">
        <v>181</v>
      </c>
      <c r="J1411" t="s">
        <v>18</v>
      </c>
      <c r="K1411" t="s">
        <v>19</v>
      </c>
    </row>
    <row r="1412" spans="1:11">
      <c r="A1412" s="1">
        <v>46127</v>
      </c>
      <c r="B1412" t="s">
        <v>90</v>
      </c>
      <c r="C1412" t="s">
        <v>104</v>
      </c>
      <c r="D1412" t="s">
        <v>114</v>
      </c>
      <c r="E1412" t="s">
        <v>180</v>
      </c>
      <c r="F1412" t="s">
        <v>26</v>
      </c>
      <c r="G1412" s="2">
        <v>80</v>
      </c>
      <c r="H1412" t="s">
        <v>27</v>
      </c>
      <c r="I1412" t="s">
        <v>181</v>
      </c>
      <c r="J1412" t="s">
        <v>18</v>
      </c>
      <c r="K1412" t="s">
        <v>19</v>
      </c>
    </row>
    <row r="1413" spans="1:11">
      <c r="A1413" s="1">
        <v>46127</v>
      </c>
      <c r="B1413" t="s">
        <v>90</v>
      </c>
      <c r="C1413" t="s">
        <v>104</v>
      </c>
      <c r="D1413" t="s">
        <v>114</v>
      </c>
      <c r="E1413" t="s">
        <v>183</v>
      </c>
      <c r="F1413" t="s">
        <v>26</v>
      </c>
      <c r="G1413" s="2">
        <v>106.67</v>
      </c>
      <c r="H1413" t="s">
        <v>27</v>
      </c>
      <c r="I1413" t="s">
        <v>181</v>
      </c>
      <c r="J1413" t="s">
        <v>18</v>
      </c>
      <c r="K1413" t="s">
        <v>19</v>
      </c>
    </row>
    <row r="1414" spans="1:11">
      <c r="A1414" s="1">
        <v>46127</v>
      </c>
      <c r="B1414" t="s">
        <v>90</v>
      </c>
      <c r="C1414" t="s">
        <v>104</v>
      </c>
      <c r="D1414" t="s">
        <v>114</v>
      </c>
      <c r="E1414" t="s">
        <v>25</v>
      </c>
      <c r="F1414" t="s">
        <v>26</v>
      </c>
      <c r="G1414" s="2">
        <v>153.33</v>
      </c>
      <c r="H1414" t="s">
        <v>27</v>
      </c>
      <c r="I1414" t="s">
        <v>181</v>
      </c>
      <c r="J1414" t="s">
        <v>18</v>
      </c>
      <c r="K1414" t="s">
        <v>19</v>
      </c>
    </row>
    <row r="1415" spans="1:11">
      <c r="A1415" s="1">
        <v>46127</v>
      </c>
      <c r="B1415" t="s">
        <v>90</v>
      </c>
      <c r="C1415" t="s">
        <v>104</v>
      </c>
      <c r="D1415" t="s">
        <v>114</v>
      </c>
      <c r="E1415" t="s">
        <v>184</v>
      </c>
      <c r="F1415" t="s">
        <v>185</v>
      </c>
      <c r="G1415" s="2">
        <v>283.33</v>
      </c>
      <c r="H1415" t="s">
        <v>27</v>
      </c>
      <c r="I1415" t="s">
        <v>181</v>
      </c>
      <c r="J1415" t="s">
        <v>18</v>
      </c>
      <c r="K1415" t="s">
        <v>19</v>
      </c>
    </row>
    <row r="1416" spans="1:11">
      <c r="A1416" s="1">
        <v>46127</v>
      </c>
      <c r="B1416" t="s">
        <v>90</v>
      </c>
      <c r="C1416" t="s">
        <v>104</v>
      </c>
      <c r="D1416" t="s">
        <v>114</v>
      </c>
      <c r="E1416" t="s">
        <v>186</v>
      </c>
      <c r="F1416" t="s">
        <v>26</v>
      </c>
      <c r="G1416" s="2">
        <v>130</v>
      </c>
      <c r="H1416" t="s">
        <v>27</v>
      </c>
      <c r="I1416" t="s">
        <v>181</v>
      </c>
      <c r="J1416" t="s">
        <v>18</v>
      </c>
      <c r="K1416" t="s">
        <v>19</v>
      </c>
    </row>
    <row r="1417" spans="1:11">
      <c r="A1417" s="1">
        <v>46127</v>
      </c>
      <c r="B1417" t="s">
        <v>90</v>
      </c>
      <c r="C1417" t="s">
        <v>104</v>
      </c>
      <c r="D1417" t="s">
        <v>118</v>
      </c>
      <c r="E1417" t="s">
        <v>180</v>
      </c>
      <c r="F1417" t="s">
        <v>26</v>
      </c>
      <c r="G1417" s="2">
        <v>80</v>
      </c>
      <c r="H1417" t="s">
        <v>27</v>
      </c>
      <c r="I1417" t="s">
        <v>181</v>
      </c>
      <c r="J1417" t="s">
        <v>18</v>
      </c>
      <c r="K1417" t="s">
        <v>19</v>
      </c>
    </row>
    <row r="1418" spans="1:11">
      <c r="A1418" s="1">
        <v>46127</v>
      </c>
      <c r="B1418" t="s">
        <v>90</v>
      </c>
      <c r="C1418" t="s">
        <v>104</v>
      </c>
      <c r="D1418" t="s">
        <v>118</v>
      </c>
      <c r="E1418" t="s">
        <v>183</v>
      </c>
      <c r="F1418" t="s">
        <v>26</v>
      </c>
      <c r="G1418" s="2">
        <v>113.33</v>
      </c>
      <c r="H1418" t="s">
        <v>27</v>
      </c>
      <c r="I1418" t="s">
        <v>181</v>
      </c>
      <c r="J1418" t="s">
        <v>18</v>
      </c>
      <c r="K1418" t="s">
        <v>19</v>
      </c>
    </row>
    <row r="1419" spans="1:11">
      <c r="A1419" s="1">
        <v>46127</v>
      </c>
      <c r="B1419" t="s">
        <v>90</v>
      </c>
      <c r="C1419" t="s">
        <v>104</v>
      </c>
      <c r="D1419" t="s">
        <v>118</v>
      </c>
      <c r="E1419" t="s">
        <v>25</v>
      </c>
      <c r="F1419" t="s">
        <v>26</v>
      </c>
      <c r="G1419" s="2">
        <v>150</v>
      </c>
      <c r="H1419" t="s">
        <v>27</v>
      </c>
      <c r="I1419" t="s">
        <v>181</v>
      </c>
      <c r="J1419" t="s">
        <v>18</v>
      </c>
      <c r="K1419" t="s">
        <v>19</v>
      </c>
    </row>
    <row r="1420" spans="1:11">
      <c r="A1420" s="1">
        <v>46127</v>
      </c>
      <c r="B1420" t="s">
        <v>90</v>
      </c>
      <c r="C1420" t="s">
        <v>104</v>
      </c>
      <c r="D1420" t="s">
        <v>118</v>
      </c>
      <c r="E1420" t="s">
        <v>184</v>
      </c>
      <c r="F1420" t="s">
        <v>185</v>
      </c>
      <c r="G1420" s="2">
        <v>300</v>
      </c>
      <c r="H1420" t="s">
        <v>27</v>
      </c>
      <c r="I1420" t="s">
        <v>181</v>
      </c>
      <c r="J1420" t="s">
        <v>18</v>
      </c>
      <c r="K1420" t="s">
        <v>19</v>
      </c>
    </row>
    <row r="1421" spans="1:11">
      <c r="A1421" s="1">
        <v>46127</v>
      </c>
      <c r="B1421" t="s">
        <v>90</v>
      </c>
      <c r="C1421" t="s">
        <v>104</v>
      </c>
      <c r="D1421" t="s">
        <v>118</v>
      </c>
      <c r="E1421" t="s">
        <v>186</v>
      </c>
      <c r="F1421" t="s">
        <v>26</v>
      </c>
      <c r="G1421" s="2">
        <v>110</v>
      </c>
      <c r="H1421" t="s">
        <v>27</v>
      </c>
      <c r="I1421" t="s">
        <v>181</v>
      </c>
      <c r="J1421" t="s">
        <v>18</v>
      </c>
      <c r="K1421" t="s">
        <v>19</v>
      </c>
    </row>
    <row r="1422" spans="1:11">
      <c r="A1422" s="1">
        <v>46127</v>
      </c>
      <c r="B1422" t="s">
        <v>90</v>
      </c>
      <c r="C1422" t="s">
        <v>104</v>
      </c>
      <c r="D1422" t="s">
        <v>119</v>
      </c>
      <c r="E1422" t="s">
        <v>180</v>
      </c>
      <c r="F1422" t="s">
        <v>26</v>
      </c>
      <c r="G1422" s="2">
        <v>76.67</v>
      </c>
      <c r="H1422" t="s">
        <v>27</v>
      </c>
      <c r="I1422" t="s">
        <v>181</v>
      </c>
      <c r="J1422" t="s">
        <v>18</v>
      </c>
      <c r="K1422" t="s">
        <v>19</v>
      </c>
    </row>
    <row r="1423" spans="1:11">
      <c r="A1423" s="1">
        <v>46127</v>
      </c>
      <c r="B1423" t="s">
        <v>90</v>
      </c>
      <c r="C1423" t="s">
        <v>104</v>
      </c>
      <c r="D1423" t="s">
        <v>119</v>
      </c>
      <c r="E1423" t="s">
        <v>183</v>
      </c>
      <c r="F1423" t="s">
        <v>26</v>
      </c>
      <c r="G1423" s="2">
        <v>138.33</v>
      </c>
      <c r="H1423" t="s">
        <v>27</v>
      </c>
      <c r="I1423" t="s">
        <v>181</v>
      </c>
      <c r="J1423" t="s">
        <v>18</v>
      </c>
      <c r="K1423" t="s">
        <v>19</v>
      </c>
    </row>
    <row r="1424" spans="1:11">
      <c r="A1424" s="1">
        <v>46127</v>
      </c>
      <c r="B1424" t="s">
        <v>90</v>
      </c>
      <c r="C1424" t="s">
        <v>104</v>
      </c>
      <c r="D1424" t="s">
        <v>119</v>
      </c>
      <c r="E1424" t="s">
        <v>25</v>
      </c>
      <c r="F1424" t="s">
        <v>26</v>
      </c>
      <c r="G1424" s="2">
        <v>146.67</v>
      </c>
      <c r="H1424" t="s">
        <v>27</v>
      </c>
      <c r="I1424" t="s">
        <v>181</v>
      </c>
      <c r="J1424" t="s">
        <v>18</v>
      </c>
      <c r="K1424" t="s">
        <v>19</v>
      </c>
    </row>
    <row r="1425" spans="1:11">
      <c r="A1425" s="1">
        <v>46127</v>
      </c>
      <c r="B1425" t="s">
        <v>90</v>
      </c>
      <c r="C1425" t="s">
        <v>104</v>
      </c>
      <c r="D1425" t="s">
        <v>119</v>
      </c>
      <c r="E1425" t="s">
        <v>184</v>
      </c>
      <c r="F1425" t="s">
        <v>185</v>
      </c>
      <c r="G1425" s="2">
        <v>286.67</v>
      </c>
      <c r="H1425" t="s">
        <v>27</v>
      </c>
      <c r="I1425" t="s">
        <v>181</v>
      </c>
      <c r="J1425" t="s">
        <v>18</v>
      </c>
      <c r="K1425" t="s">
        <v>19</v>
      </c>
    </row>
    <row r="1426" spans="1:11">
      <c r="A1426" s="1">
        <v>46127</v>
      </c>
      <c r="B1426" t="s">
        <v>90</v>
      </c>
      <c r="C1426" t="s">
        <v>104</v>
      </c>
      <c r="D1426" t="s">
        <v>119</v>
      </c>
      <c r="E1426" t="s">
        <v>186</v>
      </c>
      <c r="F1426" t="s">
        <v>26</v>
      </c>
      <c r="G1426" s="2">
        <v>120</v>
      </c>
      <c r="H1426" t="s">
        <v>27</v>
      </c>
      <c r="I1426" t="s">
        <v>181</v>
      </c>
      <c r="J1426" t="s">
        <v>18</v>
      </c>
      <c r="K1426" t="s">
        <v>19</v>
      </c>
    </row>
    <row r="1427" spans="1:11">
      <c r="A1427" s="1">
        <v>46127</v>
      </c>
      <c r="B1427" t="s">
        <v>90</v>
      </c>
      <c r="C1427" t="s">
        <v>104</v>
      </c>
      <c r="D1427" t="s">
        <v>157</v>
      </c>
      <c r="E1427" t="s">
        <v>180</v>
      </c>
      <c r="F1427" t="s">
        <v>26</v>
      </c>
      <c r="G1427" s="2">
        <v>80</v>
      </c>
      <c r="H1427" t="s">
        <v>27</v>
      </c>
      <c r="I1427" t="s">
        <v>181</v>
      </c>
      <c r="J1427" t="s">
        <v>18</v>
      </c>
      <c r="K1427" t="s">
        <v>19</v>
      </c>
    </row>
    <row r="1428" spans="1:11">
      <c r="A1428" s="1">
        <v>46127</v>
      </c>
      <c r="B1428" t="s">
        <v>90</v>
      </c>
      <c r="C1428" t="s">
        <v>104</v>
      </c>
      <c r="D1428" t="s">
        <v>157</v>
      </c>
      <c r="E1428" t="s">
        <v>182</v>
      </c>
      <c r="F1428" t="s">
        <v>26</v>
      </c>
      <c r="G1428" s="2">
        <v>100</v>
      </c>
      <c r="H1428" t="s">
        <v>27</v>
      </c>
      <c r="I1428" t="s">
        <v>181</v>
      </c>
      <c r="J1428" t="s">
        <v>18</v>
      </c>
      <c r="K1428" t="s">
        <v>19</v>
      </c>
    </row>
    <row r="1429" spans="1:11">
      <c r="A1429" s="1">
        <v>46127</v>
      </c>
      <c r="B1429" t="s">
        <v>90</v>
      </c>
      <c r="C1429" t="s">
        <v>104</v>
      </c>
      <c r="D1429" t="s">
        <v>157</v>
      </c>
      <c r="E1429" t="s">
        <v>183</v>
      </c>
      <c r="F1429" t="s">
        <v>26</v>
      </c>
      <c r="G1429" s="2">
        <v>133.33</v>
      </c>
      <c r="H1429" t="s">
        <v>27</v>
      </c>
      <c r="I1429" t="s">
        <v>181</v>
      </c>
      <c r="J1429" t="s">
        <v>18</v>
      </c>
      <c r="K1429" t="s">
        <v>19</v>
      </c>
    </row>
    <row r="1430" spans="1:11">
      <c r="A1430" s="1">
        <v>46127</v>
      </c>
      <c r="B1430" t="s">
        <v>90</v>
      </c>
      <c r="C1430" t="s">
        <v>104</v>
      </c>
      <c r="D1430" t="s">
        <v>157</v>
      </c>
      <c r="E1430" t="s">
        <v>25</v>
      </c>
      <c r="F1430" t="s">
        <v>26</v>
      </c>
      <c r="G1430" s="2">
        <v>150</v>
      </c>
      <c r="H1430" t="s">
        <v>27</v>
      </c>
      <c r="I1430" t="s">
        <v>181</v>
      </c>
      <c r="J1430" t="s">
        <v>18</v>
      </c>
      <c r="K1430" t="s">
        <v>19</v>
      </c>
    </row>
    <row r="1431" spans="1:11">
      <c r="A1431" s="1">
        <v>46127</v>
      </c>
      <c r="B1431" t="s">
        <v>90</v>
      </c>
      <c r="C1431" t="s">
        <v>104</v>
      </c>
      <c r="D1431" t="s">
        <v>157</v>
      </c>
      <c r="E1431" t="s">
        <v>184</v>
      </c>
      <c r="F1431" t="s">
        <v>185</v>
      </c>
      <c r="G1431" s="2">
        <v>300</v>
      </c>
      <c r="H1431" t="s">
        <v>27</v>
      </c>
      <c r="I1431" t="s">
        <v>181</v>
      </c>
      <c r="J1431" t="s">
        <v>18</v>
      </c>
      <c r="K1431" t="s">
        <v>19</v>
      </c>
    </row>
    <row r="1432" spans="1:11">
      <c r="A1432" s="1">
        <v>46127</v>
      </c>
      <c r="B1432" t="s">
        <v>90</v>
      </c>
      <c r="C1432" t="s">
        <v>104</v>
      </c>
      <c r="D1432" t="s">
        <v>157</v>
      </c>
      <c r="E1432" t="s">
        <v>186</v>
      </c>
      <c r="F1432" t="s">
        <v>26</v>
      </c>
      <c r="G1432" s="2">
        <v>110</v>
      </c>
      <c r="H1432" t="s">
        <v>27</v>
      </c>
      <c r="I1432" t="s">
        <v>181</v>
      </c>
      <c r="J1432" t="s">
        <v>18</v>
      </c>
      <c r="K1432" t="s">
        <v>19</v>
      </c>
    </row>
    <row r="1433" spans="1:11">
      <c r="A1433" s="1">
        <v>46157</v>
      </c>
      <c r="B1433" t="s">
        <v>63</v>
      </c>
      <c r="C1433" t="s">
        <v>64</v>
      </c>
      <c r="D1433" t="s">
        <v>68</v>
      </c>
      <c r="E1433" t="s">
        <v>180</v>
      </c>
      <c r="F1433" t="s">
        <v>26</v>
      </c>
      <c r="G1433" s="2">
        <v>98.75</v>
      </c>
      <c r="H1433" t="s">
        <v>27</v>
      </c>
      <c r="I1433" t="s">
        <v>181</v>
      </c>
      <c r="J1433" t="s">
        <v>18</v>
      </c>
      <c r="K1433" t="s">
        <v>19</v>
      </c>
    </row>
    <row r="1434" spans="1:11">
      <c r="A1434" s="1">
        <v>46157</v>
      </c>
      <c r="B1434" t="s">
        <v>63</v>
      </c>
      <c r="C1434" t="s">
        <v>64</v>
      </c>
      <c r="D1434" t="s">
        <v>68</v>
      </c>
      <c r="E1434" t="s">
        <v>182</v>
      </c>
      <c r="F1434" t="s">
        <v>26</v>
      </c>
      <c r="G1434" s="2">
        <v>80.5</v>
      </c>
      <c r="H1434" t="s">
        <v>27</v>
      </c>
      <c r="I1434" t="s">
        <v>181</v>
      </c>
      <c r="J1434" t="s">
        <v>18</v>
      </c>
      <c r="K1434" t="s">
        <v>19</v>
      </c>
    </row>
    <row r="1435" spans="1:11">
      <c r="A1435" s="1">
        <v>46157</v>
      </c>
      <c r="B1435" t="s">
        <v>63</v>
      </c>
      <c r="C1435" t="s">
        <v>64</v>
      </c>
      <c r="D1435" t="s">
        <v>68</v>
      </c>
      <c r="E1435" t="s">
        <v>183</v>
      </c>
      <c r="F1435" t="s">
        <v>26</v>
      </c>
      <c r="G1435" s="2">
        <v>117.19</v>
      </c>
      <c r="H1435" t="s">
        <v>27</v>
      </c>
      <c r="I1435" t="s">
        <v>181</v>
      </c>
      <c r="J1435" t="s">
        <v>18</v>
      </c>
      <c r="K1435" t="s">
        <v>19</v>
      </c>
    </row>
    <row r="1436" spans="1:11">
      <c r="A1436" s="1">
        <v>46157</v>
      </c>
      <c r="B1436" t="s">
        <v>63</v>
      </c>
      <c r="C1436" t="s">
        <v>64</v>
      </c>
      <c r="D1436" t="s">
        <v>68</v>
      </c>
      <c r="E1436" t="s">
        <v>187</v>
      </c>
      <c r="F1436" t="s">
        <v>185</v>
      </c>
      <c r="G1436" s="2">
        <v>153.75</v>
      </c>
      <c r="H1436" t="s">
        <v>27</v>
      </c>
      <c r="I1436" t="s">
        <v>181</v>
      </c>
      <c r="J1436" t="s">
        <v>18</v>
      </c>
      <c r="K1436" t="s">
        <v>19</v>
      </c>
    </row>
    <row r="1437" spans="1:11">
      <c r="A1437" s="1">
        <v>46157</v>
      </c>
      <c r="B1437" t="s">
        <v>63</v>
      </c>
      <c r="C1437" t="s">
        <v>64</v>
      </c>
      <c r="D1437" t="s">
        <v>68</v>
      </c>
      <c r="E1437" t="s">
        <v>25</v>
      </c>
      <c r="F1437" t="s">
        <v>26</v>
      </c>
      <c r="G1437" s="2">
        <v>121.46</v>
      </c>
      <c r="H1437" t="s">
        <v>27</v>
      </c>
      <c r="I1437" t="s">
        <v>181</v>
      </c>
      <c r="J1437" t="s">
        <v>18</v>
      </c>
      <c r="K1437" t="s">
        <v>19</v>
      </c>
    </row>
    <row r="1438" spans="1:11">
      <c r="A1438" s="1">
        <v>46157</v>
      </c>
      <c r="B1438" t="s">
        <v>63</v>
      </c>
      <c r="C1438" t="s">
        <v>64</v>
      </c>
      <c r="D1438" t="s">
        <v>68</v>
      </c>
      <c r="E1438" t="s">
        <v>184</v>
      </c>
      <c r="F1438" t="s">
        <v>185</v>
      </c>
      <c r="G1438" s="2">
        <v>256.38</v>
      </c>
      <c r="H1438" t="s">
        <v>27</v>
      </c>
      <c r="I1438" t="s">
        <v>181</v>
      </c>
      <c r="J1438" t="s">
        <v>18</v>
      </c>
      <c r="K1438" t="s">
        <v>19</v>
      </c>
    </row>
    <row r="1439" spans="1:11">
      <c r="A1439" s="1">
        <v>46157</v>
      </c>
      <c r="B1439" t="s">
        <v>63</v>
      </c>
      <c r="C1439" t="s">
        <v>64</v>
      </c>
      <c r="D1439" t="s">
        <v>68</v>
      </c>
      <c r="E1439" t="s">
        <v>186</v>
      </c>
      <c r="F1439" t="s">
        <v>26</v>
      </c>
      <c r="G1439" s="2">
        <v>128.54</v>
      </c>
      <c r="H1439" t="s">
        <v>27</v>
      </c>
      <c r="I1439" t="s">
        <v>181</v>
      </c>
      <c r="J1439" t="s">
        <v>18</v>
      </c>
      <c r="K1439" t="s">
        <v>19</v>
      </c>
    </row>
    <row r="1440" spans="1:11">
      <c r="A1440" s="1">
        <v>46157</v>
      </c>
      <c r="B1440" t="s">
        <v>63</v>
      </c>
      <c r="C1440" t="s">
        <v>64</v>
      </c>
      <c r="D1440" t="s">
        <v>71</v>
      </c>
      <c r="E1440" t="s">
        <v>180</v>
      </c>
      <c r="F1440" t="s">
        <v>26</v>
      </c>
      <c r="G1440" s="2">
        <v>97.22</v>
      </c>
      <c r="H1440" t="s">
        <v>27</v>
      </c>
      <c r="I1440" t="s">
        <v>181</v>
      </c>
      <c r="J1440" t="s">
        <v>18</v>
      </c>
      <c r="K1440" t="s">
        <v>19</v>
      </c>
    </row>
    <row r="1441" spans="1:11">
      <c r="A1441" s="1">
        <v>46157</v>
      </c>
      <c r="B1441" t="s">
        <v>63</v>
      </c>
      <c r="C1441" t="s">
        <v>64</v>
      </c>
      <c r="D1441" t="s">
        <v>71</v>
      </c>
      <c r="E1441" t="s">
        <v>182</v>
      </c>
      <c r="F1441" t="s">
        <v>26</v>
      </c>
      <c r="G1441" s="2">
        <v>77.5</v>
      </c>
      <c r="H1441" t="s">
        <v>27</v>
      </c>
      <c r="I1441" t="s">
        <v>181</v>
      </c>
      <c r="J1441" t="s">
        <v>18</v>
      </c>
      <c r="K1441" t="s">
        <v>19</v>
      </c>
    </row>
    <row r="1442" spans="1:11">
      <c r="A1442" s="1">
        <v>46157</v>
      </c>
      <c r="B1442" t="s">
        <v>63</v>
      </c>
      <c r="C1442" t="s">
        <v>64</v>
      </c>
      <c r="D1442" t="s">
        <v>71</v>
      </c>
      <c r="E1442" t="s">
        <v>183</v>
      </c>
      <c r="F1442" t="s">
        <v>26</v>
      </c>
      <c r="G1442" s="2">
        <v>103.29</v>
      </c>
      <c r="H1442" t="s">
        <v>27</v>
      </c>
      <c r="I1442" t="s">
        <v>181</v>
      </c>
      <c r="J1442" t="s">
        <v>18</v>
      </c>
      <c r="K1442" t="s">
        <v>19</v>
      </c>
    </row>
    <row r="1443" spans="1:11">
      <c r="A1443" s="1">
        <v>46157</v>
      </c>
      <c r="B1443" t="s">
        <v>63</v>
      </c>
      <c r="C1443" t="s">
        <v>64</v>
      </c>
      <c r="D1443" t="s">
        <v>71</v>
      </c>
      <c r="E1443" t="s">
        <v>25</v>
      </c>
      <c r="F1443" t="s">
        <v>26</v>
      </c>
      <c r="G1443" s="2">
        <v>118.33</v>
      </c>
      <c r="H1443" t="s">
        <v>27</v>
      </c>
      <c r="I1443" t="s">
        <v>181</v>
      </c>
      <c r="J1443" t="s">
        <v>18</v>
      </c>
      <c r="K1443" t="s">
        <v>19</v>
      </c>
    </row>
    <row r="1444" spans="1:11">
      <c r="A1444" s="1">
        <v>46157</v>
      </c>
      <c r="B1444" t="s">
        <v>63</v>
      </c>
      <c r="C1444" t="s">
        <v>64</v>
      </c>
      <c r="D1444" t="s">
        <v>71</v>
      </c>
      <c r="E1444" t="s">
        <v>184</v>
      </c>
      <c r="F1444" t="s">
        <v>185</v>
      </c>
      <c r="G1444" s="2">
        <v>262.95</v>
      </c>
      <c r="H1444" t="s">
        <v>27</v>
      </c>
      <c r="I1444" t="s">
        <v>181</v>
      </c>
      <c r="J1444" t="s">
        <v>18</v>
      </c>
      <c r="K1444" t="s">
        <v>19</v>
      </c>
    </row>
    <row r="1445" spans="1:11">
      <c r="A1445" s="1">
        <v>46157</v>
      </c>
      <c r="B1445" t="s">
        <v>63</v>
      </c>
      <c r="C1445" t="s">
        <v>64</v>
      </c>
      <c r="D1445" t="s">
        <v>71</v>
      </c>
      <c r="E1445" t="s">
        <v>186</v>
      </c>
      <c r="F1445" t="s">
        <v>26</v>
      </c>
      <c r="G1445" s="2">
        <v>119.25</v>
      </c>
      <c r="H1445" t="s">
        <v>27</v>
      </c>
      <c r="I1445" t="s">
        <v>181</v>
      </c>
      <c r="J1445" t="s">
        <v>18</v>
      </c>
      <c r="K1445" t="s">
        <v>19</v>
      </c>
    </row>
    <row r="1446" spans="1:11">
      <c r="A1446" s="1">
        <v>46157</v>
      </c>
      <c r="B1446" t="s">
        <v>63</v>
      </c>
      <c r="C1446" t="s">
        <v>64</v>
      </c>
      <c r="D1446" t="s">
        <v>72</v>
      </c>
      <c r="E1446" t="s">
        <v>182</v>
      </c>
      <c r="F1446" t="s">
        <v>26</v>
      </c>
      <c r="G1446" s="2">
        <v>96.69</v>
      </c>
      <c r="H1446" t="s">
        <v>27</v>
      </c>
      <c r="I1446" t="s">
        <v>181</v>
      </c>
      <c r="J1446" t="s">
        <v>18</v>
      </c>
      <c r="K1446" t="s">
        <v>19</v>
      </c>
    </row>
    <row r="1447" spans="1:11">
      <c r="A1447" s="1">
        <v>46157</v>
      </c>
      <c r="B1447" t="s">
        <v>63</v>
      </c>
      <c r="C1447" t="s">
        <v>64</v>
      </c>
      <c r="D1447" t="s">
        <v>72</v>
      </c>
      <c r="E1447" t="s">
        <v>183</v>
      </c>
      <c r="F1447" t="s">
        <v>26</v>
      </c>
      <c r="G1447" s="2">
        <v>120.75</v>
      </c>
      <c r="H1447" t="s">
        <v>27</v>
      </c>
      <c r="I1447" t="s">
        <v>181</v>
      </c>
      <c r="J1447" t="s">
        <v>18</v>
      </c>
      <c r="K1447" t="s">
        <v>19</v>
      </c>
    </row>
    <row r="1448" spans="1:11">
      <c r="A1448" s="1">
        <v>46157</v>
      </c>
      <c r="B1448" t="s">
        <v>63</v>
      </c>
      <c r="C1448" t="s">
        <v>64</v>
      </c>
      <c r="D1448" t="s">
        <v>72</v>
      </c>
      <c r="E1448" t="s">
        <v>187</v>
      </c>
      <c r="F1448" t="s">
        <v>185</v>
      </c>
      <c r="G1448" s="2">
        <v>150</v>
      </c>
      <c r="H1448" t="s">
        <v>27</v>
      </c>
      <c r="I1448" t="s">
        <v>181</v>
      </c>
      <c r="J1448" t="s">
        <v>18</v>
      </c>
      <c r="K1448" t="s">
        <v>19</v>
      </c>
    </row>
    <row r="1449" spans="1:11">
      <c r="A1449" s="1">
        <v>46157</v>
      </c>
      <c r="B1449" t="s">
        <v>63</v>
      </c>
      <c r="C1449" t="s">
        <v>64</v>
      </c>
      <c r="D1449" t="s">
        <v>72</v>
      </c>
      <c r="E1449" t="s">
        <v>25</v>
      </c>
      <c r="F1449" t="s">
        <v>26</v>
      </c>
      <c r="G1449" s="2">
        <v>120.93</v>
      </c>
      <c r="H1449" t="s">
        <v>27</v>
      </c>
      <c r="I1449" t="s">
        <v>181</v>
      </c>
      <c r="J1449" t="s">
        <v>18</v>
      </c>
      <c r="K1449" t="s">
        <v>19</v>
      </c>
    </row>
    <row r="1450" spans="1:11">
      <c r="A1450" s="1">
        <v>46157</v>
      </c>
      <c r="B1450" t="s">
        <v>63</v>
      </c>
      <c r="C1450" t="s">
        <v>64</v>
      </c>
      <c r="D1450" t="s">
        <v>72</v>
      </c>
      <c r="E1450" t="s">
        <v>184</v>
      </c>
      <c r="F1450" t="s">
        <v>185</v>
      </c>
      <c r="G1450" s="2">
        <v>260.9</v>
      </c>
      <c r="H1450" t="s">
        <v>27</v>
      </c>
      <c r="I1450" t="s">
        <v>181</v>
      </c>
      <c r="J1450" t="s">
        <v>18</v>
      </c>
      <c r="K1450" t="s">
        <v>19</v>
      </c>
    </row>
    <row r="1451" spans="1:11">
      <c r="A1451" s="1">
        <v>46157</v>
      </c>
      <c r="B1451" t="s">
        <v>63</v>
      </c>
      <c r="C1451" t="s">
        <v>64</v>
      </c>
      <c r="D1451" t="s">
        <v>72</v>
      </c>
      <c r="E1451" t="s">
        <v>186</v>
      </c>
      <c r="F1451" t="s">
        <v>26</v>
      </c>
      <c r="G1451" s="2">
        <v>123.17</v>
      </c>
      <c r="H1451" t="s">
        <v>27</v>
      </c>
      <c r="I1451" t="s">
        <v>181</v>
      </c>
      <c r="J1451" t="s">
        <v>18</v>
      </c>
      <c r="K1451" t="s">
        <v>19</v>
      </c>
    </row>
    <row r="1452" spans="1:11">
      <c r="A1452" s="1">
        <v>46188</v>
      </c>
      <c r="B1452" t="s">
        <v>63</v>
      </c>
      <c r="C1452" t="s">
        <v>64</v>
      </c>
      <c r="D1452" t="s">
        <v>68</v>
      </c>
      <c r="E1452" t="s">
        <v>180</v>
      </c>
      <c r="F1452" t="s">
        <v>26</v>
      </c>
      <c r="G1452" s="2">
        <v>97.92</v>
      </c>
      <c r="H1452" t="s">
        <v>27</v>
      </c>
      <c r="I1452" t="s">
        <v>181</v>
      </c>
      <c r="J1452" t="s">
        <v>18</v>
      </c>
      <c r="K1452" t="s">
        <v>19</v>
      </c>
    </row>
    <row r="1453" spans="1:11">
      <c r="A1453" s="1">
        <v>46188</v>
      </c>
      <c r="B1453" t="s">
        <v>63</v>
      </c>
      <c r="C1453" t="s">
        <v>64</v>
      </c>
      <c r="D1453" t="s">
        <v>68</v>
      </c>
      <c r="E1453" t="s">
        <v>182</v>
      </c>
      <c r="F1453" t="s">
        <v>26</v>
      </c>
      <c r="G1453" s="2">
        <v>62.9</v>
      </c>
      <c r="H1453" t="s">
        <v>27</v>
      </c>
      <c r="I1453" t="s">
        <v>181</v>
      </c>
      <c r="J1453" t="s">
        <v>18</v>
      </c>
      <c r="K1453" t="s">
        <v>19</v>
      </c>
    </row>
    <row r="1454" spans="1:11">
      <c r="A1454" s="1">
        <v>46188</v>
      </c>
      <c r="B1454" t="s">
        <v>63</v>
      </c>
      <c r="C1454" t="s">
        <v>64</v>
      </c>
      <c r="D1454" t="s">
        <v>68</v>
      </c>
      <c r="E1454" t="s">
        <v>183</v>
      </c>
      <c r="F1454" t="s">
        <v>26</v>
      </c>
      <c r="G1454" s="2">
        <v>113.31</v>
      </c>
      <c r="H1454" t="s">
        <v>27</v>
      </c>
      <c r="I1454" t="s">
        <v>181</v>
      </c>
      <c r="J1454" t="s">
        <v>18</v>
      </c>
      <c r="K1454" t="s">
        <v>19</v>
      </c>
    </row>
    <row r="1455" spans="1:11">
      <c r="A1455" s="1">
        <v>46188</v>
      </c>
      <c r="B1455" t="s">
        <v>63</v>
      </c>
      <c r="C1455" t="s">
        <v>64</v>
      </c>
      <c r="D1455" t="s">
        <v>68</v>
      </c>
      <c r="E1455" t="s">
        <v>187</v>
      </c>
      <c r="F1455" t="s">
        <v>185</v>
      </c>
      <c r="G1455" s="2">
        <v>150</v>
      </c>
      <c r="H1455" t="s">
        <v>27</v>
      </c>
      <c r="I1455" t="s">
        <v>181</v>
      </c>
      <c r="J1455" t="s">
        <v>18</v>
      </c>
      <c r="K1455" t="s">
        <v>19</v>
      </c>
    </row>
    <row r="1456" spans="1:11">
      <c r="A1456" s="1">
        <v>46188</v>
      </c>
      <c r="B1456" t="s">
        <v>63</v>
      </c>
      <c r="C1456" t="s">
        <v>64</v>
      </c>
      <c r="D1456" t="s">
        <v>68</v>
      </c>
      <c r="E1456" t="s">
        <v>25</v>
      </c>
      <c r="F1456" t="s">
        <v>26</v>
      </c>
      <c r="G1456" s="2">
        <v>115.65</v>
      </c>
      <c r="H1456" t="s">
        <v>27</v>
      </c>
      <c r="I1456" t="s">
        <v>181</v>
      </c>
      <c r="J1456" t="s">
        <v>18</v>
      </c>
      <c r="K1456" t="s">
        <v>19</v>
      </c>
    </row>
    <row r="1457" spans="1:11">
      <c r="A1457" s="1">
        <v>46188</v>
      </c>
      <c r="B1457" t="s">
        <v>63</v>
      </c>
      <c r="C1457" t="s">
        <v>64</v>
      </c>
      <c r="D1457" t="s">
        <v>68</v>
      </c>
      <c r="E1457" t="s">
        <v>184</v>
      </c>
      <c r="F1457" t="s">
        <v>185</v>
      </c>
      <c r="G1457" s="2">
        <v>263.78</v>
      </c>
      <c r="H1457" t="s">
        <v>27</v>
      </c>
      <c r="I1457" t="s">
        <v>181</v>
      </c>
      <c r="J1457" t="s">
        <v>18</v>
      </c>
      <c r="K1457" t="s">
        <v>19</v>
      </c>
    </row>
    <row r="1458" spans="1:11">
      <c r="A1458" s="1">
        <v>46188</v>
      </c>
      <c r="B1458" t="s">
        <v>63</v>
      </c>
      <c r="C1458" t="s">
        <v>64</v>
      </c>
      <c r="D1458" t="s">
        <v>68</v>
      </c>
      <c r="E1458" t="s">
        <v>186</v>
      </c>
      <c r="F1458" t="s">
        <v>26</v>
      </c>
      <c r="G1458" s="2">
        <v>120.24</v>
      </c>
      <c r="H1458" t="s">
        <v>27</v>
      </c>
      <c r="I1458" t="s">
        <v>181</v>
      </c>
      <c r="J1458" t="s">
        <v>18</v>
      </c>
      <c r="K1458" t="s">
        <v>19</v>
      </c>
    </row>
    <row r="1459" spans="1:11">
      <c r="A1459" s="1">
        <v>46188</v>
      </c>
      <c r="B1459" t="s">
        <v>63</v>
      </c>
      <c r="C1459" t="s">
        <v>64</v>
      </c>
      <c r="D1459" t="s">
        <v>71</v>
      </c>
      <c r="E1459" t="s">
        <v>180</v>
      </c>
      <c r="F1459" t="s">
        <v>26</v>
      </c>
      <c r="G1459" s="2">
        <v>98.45999999999999</v>
      </c>
      <c r="H1459" t="s">
        <v>27</v>
      </c>
      <c r="I1459" t="s">
        <v>181</v>
      </c>
      <c r="J1459" t="s">
        <v>18</v>
      </c>
      <c r="K1459" t="s">
        <v>19</v>
      </c>
    </row>
    <row r="1460" spans="1:11">
      <c r="A1460" s="1">
        <v>46188</v>
      </c>
      <c r="B1460" t="s">
        <v>63</v>
      </c>
      <c r="C1460" t="s">
        <v>64</v>
      </c>
      <c r="D1460" t="s">
        <v>71</v>
      </c>
      <c r="E1460" t="s">
        <v>182</v>
      </c>
      <c r="F1460" t="s">
        <v>26</v>
      </c>
      <c r="G1460" s="2">
        <v>68.75</v>
      </c>
      <c r="H1460" t="s">
        <v>27</v>
      </c>
      <c r="I1460" t="s">
        <v>181</v>
      </c>
      <c r="J1460" t="s">
        <v>18</v>
      </c>
      <c r="K1460" t="s">
        <v>19</v>
      </c>
    </row>
    <row r="1461" spans="1:11">
      <c r="A1461" s="1">
        <v>46188</v>
      </c>
      <c r="B1461" t="s">
        <v>63</v>
      </c>
      <c r="C1461" t="s">
        <v>64</v>
      </c>
      <c r="D1461" t="s">
        <v>71</v>
      </c>
      <c r="E1461" t="s">
        <v>183</v>
      </c>
      <c r="F1461" t="s">
        <v>26</v>
      </c>
      <c r="G1461" s="2">
        <v>100.88</v>
      </c>
      <c r="H1461" t="s">
        <v>27</v>
      </c>
      <c r="I1461" t="s">
        <v>181</v>
      </c>
      <c r="J1461" t="s">
        <v>18</v>
      </c>
      <c r="K1461" t="s">
        <v>19</v>
      </c>
    </row>
    <row r="1462" spans="1:11">
      <c r="A1462" s="1">
        <v>46188</v>
      </c>
      <c r="B1462" t="s">
        <v>63</v>
      </c>
      <c r="C1462" t="s">
        <v>64</v>
      </c>
      <c r="D1462" t="s">
        <v>71</v>
      </c>
      <c r="E1462" t="s">
        <v>25</v>
      </c>
      <c r="F1462" t="s">
        <v>26</v>
      </c>
      <c r="G1462" s="2">
        <v>119.71</v>
      </c>
      <c r="H1462" t="s">
        <v>27</v>
      </c>
      <c r="I1462" t="s">
        <v>181</v>
      </c>
      <c r="J1462" t="s">
        <v>18</v>
      </c>
      <c r="K1462" t="s">
        <v>19</v>
      </c>
    </row>
    <row r="1463" spans="1:11">
      <c r="A1463" s="1">
        <v>46188</v>
      </c>
      <c r="B1463" t="s">
        <v>63</v>
      </c>
      <c r="C1463" t="s">
        <v>64</v>
      </c>
      <c r="D1463" t="s">
        <v>71</v>
      </c>
      <c r="E1463" t="s">
        <v>184</v>
      </c>
      <c r="F1463" t="s">
        <v>185</v>
      </c>
      <c r="G1463" s="2">
        <v>291.43</v>
      </c>
      <c r="H1463" t="s">
        <v>27</v>
      </c>
      <c r="I1463" t="s">
        <v>181</v>
      </c>
      <c r="J1463" t="s">
        <v>18</v>
      </c>
      <c r="K1463" t="s">
        <v>19</v>
      </c>
    </row>
    <row r="1464" spans="1:11">
      <c r="A1464" s="1">
        <v>46188</v>
      </c>
      <c r="B1464" t="s">
        <v>63</v>
      </c>
      <c r="C1464" t="s">
        <v>64</v>
      </c>
      <c r="D1464" t="s">
        <v>71</v>
      </c>
      <c r="E1464" t="s">
        <v>186</v>
      </c>
      <c r="F1464" t="s">
        <v>26</v>
      </c>
      <c r="G1464" s="2">
        <v>118.79</v>
      </c>
      <c r="H1464" t="s">
        <v>27</v>
      </c>
      <c r="I1464" t="s">
        <v>181</v>
      </c>
      <c r="J1464" t="s">
        <v>18</v>
      </c>
      <c r="K1464" t="s">
        <v>19</v>
      </c>
    </row>
    <row r="1465" spans="1:11">
      <c r="A1465" s="1">
        <v>46188</v>
      </c>
      <c r="B1465" t="s">
        <v>63</v>
      </c>
      <c r="C1465" t="s">
        <v>64</v>
      </c>
      <c r="D1465" t="s">
        <v>72</v>
      </c>
      <c r="E1465" t="s">
        <v>180</v>
      </c>
      <c r="F1465" t="s">
        <v>26</v>
      </c>
      <c r="G1465" s="2">
        <v>100.71</v>
      </c>
      <c r="H1465" t="s">
        <v>27</v>
      </c>
      <c r="I1465" t="s">
        <v>181</v>
      </c>
      <c r="J1465" t="s">
        <v>18</v>
      </c>
      <c r="K1465" t="s">
        <v>19</v>
      </c>
    </row>
    <row r="1466" spans="1:11">
      <c r="A1466" s="1">
        <v>46188</v>
      </c>
      <c r="B1466" t="s">
        <v>63</v>
      </c>
      <c r="C1466" t="s">
        <v>64</v>
      </c>
      <c r="D1466" t="s">
        <v>72</v>
      </c>
      <c r="E1466" t="s">
        <v>182</v>
      </c>
      <c r="F1466" t="s">
        <v>26</v>
      </c>
      <c r="G1466" s="2">
        <v>60</v>
      </c>
      <c r="H1466" t="s">
        <v>27</v>
      </c>
      <c r="I1466" t="s">
        <v>181</v>
      </c>
      <c r="J1466" t="s">
        <v>18</v>
      </c>
      <c r="K1466" t="s">
        <v>19</v>
      </c>
    </row>
    <row r="1467" spans="1:11">
      <c r="A1467" s="1">
        <v>46188</v>
      </c>
      <c r="B1467" t="s">
        <v>63</v>
      </c>
      <c r="C1467" t="s">
        <v>64</v>
      </c>
      <c r="D1467" t="s">
        <v>72</v>
      </c>
      <c r="E1467" t="s">
        <v>183</v>
      </c>
      <c r="F1467" t="s">
        <v>26</v>
      </c>
      <c r="G1467" s="2">
        <v>127.14</v>
      </c>
      <c r="H1467" t="s">
        <v>27</v>
      </c>
      <c r="I1467" t="s">
        <v>181</v>
      </c>
      <c r="J1467" t="s">
        <v>18</v>
      </c>
      <c r="K1467" t="s">
        <v>19</v>
      </c>
    </row>
    <row r="1468" spans="1:11">
      <c r="A1468" s="1">
        <v>46188</v>
      </c>
      <c r="B1468" t="s">
        <v>63</v>
      </c>
      <c r="C1468" t="s">
        <v>64</v>
      </c>
      <c r="D1468" t="s">
        <v>72</v>
      </c>
      <c r="E1468" t="s">
        <v>25</v>
      </c>
      <c r="F1468" t="s">
        <v>26</v>
      </c>
      <c r="G1468" s="2">
        <v>120</v>
      </c>
      <c r="H1468" t="s">
        <v>27</v>
      </c>
      <c r="I1468" t="s">
        <v>181</v>
      </c>
      <c r="J1468" t="s">
        <v>18</v>
      </c>
      <c r="K1468" t="s">
        <v>19</v>
      </c>
    </row>
    <row r="1469" spans="1:11">
      <c r="A1469" s="1">
        <v>46188</v>
      </c>
      <c r="B1469" t="s">
        <v>63</v>
      </c>
      <c r="C1469" t="s">
        <v>64</v>
      </c>
      <c r="D1469" t="s">
        <v>72</v>
      </c>
      <c r="E1469" t="s">
        <v>184</v>
      </c>
      <c r="F1469" t="s">
        <v>185</v>
      </c>
      <c r="G1469" s="2">
        <v>249.29</v>
      </c>
      <c r="H1469" t="s">
        <v>27</v>
      </c>
      <c r="I1469" t="s">
        <v>181</v>
      </c>
      <c r="J1469" t="s">
        <v>18</v>
      </c>
      <c r="K1469" t="s">
        <v>19</v>
      </c>
    </row>
    <row r="1470" spans="1:11">
      <c r="A1470" s="1">
        <v>46188</v>
      </c>
      <c r="B1470" t="s">
        <v>63</v>
      </c>
      <c r="C1470" t="s">
        <v>64</v>
      </c>
      <c r="D1470" t="s">
        <v>72</v>
      </c>
      <c r="E1470" t="s">
        <v>186</v>
      </c>
      <c r="F1470" t="s">
        <v>26</v>
      </c>
      <c r="G1470" s="2">
        <v>122.14</v>
      </c>
      <c r="H1470" t="s">
        <v>27</v>
      </c>
      <c r="I1470" t="s">
        <v>181</v>
      </c>
      <c r="J1470" t="s">
        <v>18</v>
      </c>
      <c r="K1470" t="s">
        <v>19</v>
      </c>
    </row>
    <row r="1471" spans="1:11">
      <c r="A1471" s="1">
        <v>46188</v>
      </c>
      <c r="B1471" t="s">
        <v>90</v>
      </c>
      <c r="C1471" t="s">
        <v>104</v>
      </c>
      <c r="D1471" t="s">
        <v>108</v>
      </c>
      <c r="E1471" t="s">
        <v>180</v>
      </c>
      <c r="F1471" t="s">
        <v>26</v>
      </c>
      <c r="G1471" s="2">
        <v>83</v>
      </c>
      <c r="H1471" t="s">
        <v>27</v>
      </c>
      <c r="I1471" t="s">
        <v>181</v>
      </c>
      <c r="J1471" t="s">
        <v>18</v>
      </c>
      <c r="K1471" t="s">
        <v>19</v>
      </c>
    </row>
    <row r="1472" spans="1:11">
      <c r="A1472" s="1">
        <v>46188</v>
      </c>
      <c r="B1472" t="s">
        <v>90</v>
      </c>
      <c r="C1472" t="s">
        <v>104</v>
      </c>
      <c r="D1472" t="s">
        <v>108</v>
      </c>
      <c r="E1472" t="s">
        <v>182</v>
      </c>
      <c r="F1472" t="s">
        <v>26</v>
      </c>
      <c r="G1472" s="2">
        <v>80</v>
      </c>
      <c r="H1472" t="s">
        <v>27</v>
      </c>
      <c r="I1472" t="s">
        <v>181</v>
      </c>
      <c r="J1472" t="s">
        <v>18</v>
      </c>
      <c r="K1472" t="s">
        <v>19</v>
      </c>
    </row>
    <row r="1473" spans="1:11">
      <c r="A1473" s="1">
        <v>46188</v>
      </c>
      <c r="B1473" t="s">
        <v>90</v>
      </c>
      <c r="C1473" t="s">
        <v>104</v>
      </c>
      <c r="D1473" t="s">
        <v>108</v>
      </c>
      <c r="E1473" t="s">
        <v>183</v>
      </c>
      <c r="F1473" t="s">
        <v>26</v>
      </c>
      <c r="G1473" s="2">
        <v>126</v>
      </c>
      <c r="H1473" t="s">
        <v>27</v>
      </c>
      <c r="I1473" t="s">
        <v>181</v>
      </c>
      <c r="J1473" t="s">
        <v>18</v>
      </c>
      <c r="K1473" t="s">
        <v>19</v>
      </c>
    </row>
    <row r="1474" spans="1:11">
      <c r="A1474" s="1">
        <v>46188</v>
      </c>
      <c r="B1474" t="s">
        <v>90</v>
      </c>
      <c r="C1474" t="s">
        <v>104</v>
      </c>
      <c r="D1474" t="s">
        <v>108</v>
      </c>
      <c r="E1474" t="s">
        <v>25</v>
      </c>
      <c r="F1474" t="s">
        <v>26</v>
      </c>
      <c r="G1474" s="2">
        <v>150</v>
      </c>
      <c r="H1474" t="s">
        <v>27</v>
      </c>
      <c r="I1474" t="s">
        <v>181</v>
      </c>
      <c r="J1474" t="s">
        <v>18</v>
      </c>
      <c r="K1474" t="s">
        <v>19</v>
      </c>
    </row>
    <row r="1475" spans="1:11">
      <c r="A1475" s="1">
        <v>46188</v>
      </c>
      <c r="B1475" t="s">
        <v>90</v>
      </c>
      <c r="C1475" t="s">
        <v>104</v>
      </c>
      <c r="D1475" t="s">
        <v>108</v>
      </c>
      <c r="E1475" t="s">
        <v>184</v>
      </c>
      <c r="F1475" t="s">
        <v>185</v>
      </c>
      <c r="G1475" s="2">
        <v>314</v>
      </c>
      <c r="H1475" t="s">
        <v>27</v>
      </c>
      <c r="I1475" t="s">
        <v>181</v>
      </c>
      <c r="J1475" t="s">
        <v>18</v>
      </c>
      <c r="K1475" t="s">
        <v>19</v>
      </c>
    </row>
    <row r="1476" spans="1:11">
      <c r="A1476" s="1">
        <v>46188</v>
      </c>
      <c r="B1476" t="s">
        <v>90</v>
      </c>
      <c r="C1476" t="s">
        <v>104</v>
      </c>
      <c r="D1476" t="s">
        <v>108</v>
      </c>
      <c r="E1476" t="s">
        <v>186</v>
      </c>
      <c r="F1476" t="s">
        <v>26</v>
      </c>
      <c r="G1476" s="2">
        <v>130</v>
      </c>
      <c r="H1476" t="s">
        <v>27</v>
      </c>
      <c r="I1476" t="s">
        <v>181</v>
      </c>
      <c r="J1476" t="s">
        <v>18</v>
      </c>
      <c r="K1476" t="s">
        <v>19</v>
      </c>
    </row>
    <row r="1477" spans="1:11">
      <c r="A1477" s="1">
        <v>46188</v>
      </c>
      <c r="B1477" t="s">
        <v>90</v>
      </c>
      <c r="C1477" t="s">
        <v>104</v>
      </c>
      <c r="D1477" t="s">
        <v>109</v>
      </c>
      <c r="E1477" t="s">
        <v>180</v>
      </c>
      <c r="F1477" t="s">
        <v>26</v>
      </c>
      <c r="G1477" s="2">
        <v>85</v>
      </c>
      <c r="H1477" t="s">
        <v>27</v>
      </c>
      <c r="I1477" t="s">
        <v>181</v>
      </c>
      <c r="J1477" t="s">
        <v>18</v>
      </c>
      <c r="K1477" t="s">
        <v>19</v>
      </c>
    </row>
    <row r="1478" spans="1:11">
      <c r="A1478" s="1">
        <v>46188</v>
      </c>
      <c r="B1478" t="s">
        <v>90</v>
      </c>
      <c r="C1478" t="s">
        <v>104</v>
      </c>
      <c r="D1478" t="s">
        <v>109</v>
      </c>
      <c r="E1478" t="s">
        <v>183</v>
      </c>
      <c r="F1478" t="s">
        <v>26</v>
      </c>
      <c r="G1478" s="2">
        <v>152.5</v>
      </c>
      <c r="H1478" t="s">
        <v>27</v>
      </c>
      <c r="I1478" t="s">
        <v>181</v>
      </c>
      <c r="J1478" t="s">
        <v>18</v>
      </c>
      <c r="K1478" t="s">
        <v>19</v>
      </c>
    </row>
    <row r="1479" spans="1:11">
      <c r="A1479" s="1">
        <v>46188</v>
      </c>
      <c r="B1479" t="s">
        <v>90</v>
      </c>
      <c r="C1479" t="s">
        <v>104</v>
      </c>
      <c r="D1479" t="s">
        <v>109</v>
      </c>
      <c r="E1479" t="s">
        <v>25</v>
      </c>
      <c r="F1479" t="s">
        <v>26</v>
      </c>
      <c r="G1479" s="2">
        <v>162.5</v>
      </c>
      <c r="H1479" t="s">
        <v>27</v>
      </c>
      <c r="I1479" t="s">
        <v>181</v>
      </c>
      <c r="J1479" t="s">
        <v>18</v>
      </c>
      <c r="K1479" t="s">
        <v>19</v>
      </c>
    </row>
    <row r="1480" spans="1:11">
      <c r="A1480" s="1">
        <v>46188</v>
      </c>
      <c r="B1480" t="s">
        <v>90</v>
      </c>
      <c r="C1480" t="s">
        <v>104</v>
      </c>
      <c r="D1480" t="s">
        <v>109</v>
      </c>
      <c r="E1480" t="s">
        <v>184</v>
      </c>
      <c r="F1480" t="s">
        <v>185</v>
      </c>
      <c r="G1480" s="2">
        <v>300</v>
      </c>
      <c r="H1480" t="s">
        <v>27</v>
      </c>
      <c r="I1480" t="s">
        <v>181</v>
      </c>
      <c r="J1480" t="s">
        <v>18</v>
      </c>
      <c r="K1480" t="s">
        <v>19</v>
      </c>
    </row>
    <row r="1481" spans="1:11">
      <c r="A1481" s="1">
        <v>46188</v>
      </c>
      <c r="B1481" t="s">
        <v>90</v>
      </c>
      <c r="C1481" t="s">
        <v>104</v>
      </c>
      <c r="D1481" t="s">
        <v>109</v>
      </c>
      <c r="E1481" t="s">
        <v>186</v>
      </c>
      <c r="F1481" t="s">
        <v>26</v>
      </c>
      <c r="G1481" s="2">
        <v>155</v>
      </c>
      <c r="H1481" t="s">
        <v>27</v>
      </c>
      <c r="I1481" t="s">
        <v>181</v>
      </c>
      <c r="J1481" t="s">
        <v>18</v>
      </c>
      <c r="K1481" t="s">
        <v>19</v>
      </c>
    </row>
    <row r="1482" spans="1:11">
      <c r="A1482" s="1">
        <v>46188</v>
      </c>
      <c r="B1482" t="s">
        <v>90</v>
      </c>
      <c r="C1482" t="s">
        <v>104</v>
      </c>
      <c r="D1482" t="s">
        <v>112</v>
      </c>
      <c r="E1482" t="s">
        <v>180</v>
      </c>
      <c r="F1482" t="s">
        <v>26</v>
      </c>
      <c r="G1482" s="2">
        <v>106.67</v>
      </c>
      <c r="H1482" t="s">
        <v>27</v>
      </c>
      <c r="I1482" t="s">
        <v>181</v>
      </c>
      <c r="J1482" t="s">
        <v>18</v>
      </c>
      <c r="K1482" t="s">
        <v>19</v>
      </c>
    </row>
    <row r="1483" spans="1:11">
      <c r="A1483" s="1">
        <v>46188</v>
      </c>
      <c r="B1483" t="s">
        <v>90</v>
      </c>
      <c r="C1483" t="s">
        <v>104</v>
      </c>
      <c r="D1483" t="s">
        <v>112</v>
      </c>
      <c r="E1483" t="s">
        <v>183</v>
      </c>
      <c r="F1483" t="s">
        <v>26</v>
      </c>
      <c r="G1483" s="2">
        <v>146.67</v>
      </c>
      <c r="H1483" t="s">
        <v>27</v>
      </c>
      <c r="I1483" t="s">
        <v>181</v>
      </c>
      <c r="J1483" t="s">
        <v>18</v>
      </c>
      <c r="K1483" t="s">
        <v>19</v>
      </c>
    </row>
    <row r="1484" spans="1:11">
      <c r="A1484" s="1">
        <v>46188</v>
      </c>
      <c r="B1484" t="s">
        <v>90</v>
      </c>
      <c r="C1484" t="s">
        <v>104</v>
      </c>
      <c r="D1484" t="s">
        <v>112</v>
      </c>
      <c r="E1484" t="s">
        <v>25</v>
      </c>
      <c r="F1484" t="s">
        <v>26</v>
      </c>
      <c r="G1484" s="2">
        <v>160</v>
      </c>
      <c r="H1484" t="s">
        <v>27</v>
      </c>
      <c r="I1484" t="s">
        <v>181</v>
      </c>
      <c r="J1484" t="s">
        <v>18</v>
      </c>
      <c r="K1484" t="s">
        <v>19</v>
      </c>
    </row>
    <row r="1485" spans="1:11">
      <c r="A1485" s="1">
        <v>46188</v>
      </c>
      <c r="B1485" t="s">
        <v>90</v>
      </c>
      <c r="C1485" t="s">
        <v>104</v>
      </c>
      <c r="D1485" t="s">
        <v>112</v>
      </c>
      <c r="E1485" t="s">
        <v>184</v>
      </c>
      <c r="F1485" t="s">
        <v>185</v>
      </c>
      <c r="G1485" s="2">
        <v>276.67</v>
      </c>
      <c r="H1485" t="s">
        <v>27</v>
      </c>
      <c r="I1485" t="s">
        <v>181</v>
      </c>
      <c r="J1485" t="s">
        <v>18</v>
      </c>
      <c r="K1485" t="s">
        <v>19</v>
      </c>
    </row>
    <row r="1486" spans="1:11">
      <c r="A1486" s="1">
        <v>46188</v>
      </c>
      <c r="B1486" t="s">
        <v>90</v>
      </c>
      <c r="C1486" t="s">
        <v>104</v>
      </c>
      <c r="D1486" t="s">
        <v>112</v>
      </c>
      <c r="E1486" t="s">
        <v>186</v>
      </c>
      <c r="F1486" t="s">
        <v>26</v>
      </c>
      <c r="G1486" s="2">
        <v>123.33</v>
      </c>
      <c r="H1486" t="s">
        <v>27</v>
      </c>
      <c r="I1486" t="s">
        <v>181</v>
      </c>
      <c r="J1486" t="s">
        <v>18</v>
      </c>
      <c r="K1486" t="s">
        <v>19</v>
      </c>
    </row>
    <row r="1487" spans="1:11">
      <c r="A1487" s="1">
        <v>46188</v>
      </c>
      <c r="B1487" t="s">
        <v>90</v>
      </c>
      <c r="C1487" t="s">
        <v>104</v>
      </c>
      <c r="D1487" t="s">
        <v>113</v>
      </c>
      <c r="E1487" t="s">
        <v>180</v>
      </c>
      <c r="F1487" t="s">
        <v>26</v>
      </c>
      <c r="G1487" s="2">
        <v>92</v>
      </c>
      <c r="H1487" t="s">
        <v>27</v>
      </c>
      <c r="I1487" t="s">
        <v>181</v>
      </c>
      <c r="J1487" t="s">
        <v>18</v>
      </c>
      <c r="K1487" t="s">
        <v>19</v>
      </c>
    </row>
    <row r="1488" spans="1:11">
      <c r="A1488" s="1">
        <v>46188</v>
      </c>
      <c r="B1488" t="s">
        <v>90</v>
      </c>
      <c r="C1488" t="s">
        <v>104</v>
      </c>
      <c r="D1488" t="s">
        <v>113</v>
      </c>
      <c r="E1488" t="s">
        <v>183</v>
      </c>
      <c r="F1488" t="s">
        <v>26</v>
      </c>
      <c r="G1488" s="2">
        <v>160</v>
      </c>
      <c r="H1488" t="s">
        <v>27</v>
      </c>
      <c r="I1488" t="s">
        <v>181</v>
      </c>
      <c r="J1488" t="s">
        <v>18</v>
      </c>
      <c r="K1488" t="s">
        <v>19</v>
      </c>
    </row>
    <row r="1489" spans="1:11">
      <c r="A1489" s="1">
        <v>46188</v>
      </c>
      <c r="B1489" t="s">
        <v>90</v>
      </c>
      <c r="C1489" t="s">
        <v>104</v>
      </c>
      <c r="D1489" t="s">
        <v>113</v>
      </c>
      <c r="E1489" t="s">
        <v>25</v>
      </c>
      <c r="F1489" t="s">
        <v>26</v>
      </c>
      <c r="G1489" s="2">
        <v>150</v>
      </c>
      <c r="H1489" t="s">
        <v>27</v>
      </c>
      <c r="I1489" t="s">
        <v>181</v>
      </c>
      <c r="J1489" t="s">
        <v>18</v>
      </c>
      <c r="K1489" t="s">
        <v>19</v>
      </c>
    </row>
    <row r="1490" spans="1:11">
      <c r="A1490" s="1">
        <v>46188</v>
      </c>
      <c r="B1490" t="s">
        <v>90</v>
      </c>
      <c r="C1490" t="s">
        <v>104</v>
      </c>
      <c r="D1490" t="s">
        <v>113</v>
      </c>
      <c r="E1490" t="s">
        <v>184</v>
      </c>
      <c r="F1490" t="s">
        <v>185</v>
      </c>
      <c r="G1490" s="2">
        <v>284</v>
      </c>
      <c r="H1490" t="s">
        <v>27</v>
      </c>
      <c r="I1490" t="s">
        <v>181</v>
      </c>
      <c r="J1490" t="s">
        <v>18</v>
      </c>
      <c r="K1490" t="s">
        <v>19</v>
      </c>
    </row>
    <row r="1491" spans="1:11">
      <c r="A1491" s="1">
        <v>46188</v>
      </c>
      <c r="B1491" t="s">
        <v>90</v>
      </c>
      <c r="C1491" t="s">
        <v>104</v>
      </c>
      <c r="D1491" t="s">
        <v>113</v>
      </c>
      <c r="E1491" t="s">
        <v>186</v>
      </c>
      <c r="F1491" t="s">
        <v>26</v>
      </c>
      <c r="G1491" s="2">
        <v>136</v>
      </c>
      <c r="H1491" t="s">
        <v>27</v>
      </c>
      <c r="I1491" t="s">
        <v>181</v>
      </c>
      <c r="J1491" t="s">
        <v>18</v>
      </c>
      <c r="K1491" t="s">
        <v>19</v>
      </c>
    </row>
    <row r="1492" spans="1:11">
      <c r="A1492" s="1">
        <v>46188</v>
      </c>
      <c r="B1492" t="s">
        <v>90</v>
      </c>
      <c r="C1492" t="s">
        <v>104</v>
      </c>
      <c r="D1492" t="s">
        <v>114</v>
      </c>
      <c r="E1492" t="s">
        <v>180</v>
      </c>
      <c r="F1492" t="s">
        <v>26</v>
      </c>
      <c r="G1492" s="2">
        <v>82.5</v>
      </c>
      <c r="H1492" t="s">
        <v>27</v>
      </c>
      <c r="I1492" t="s">
        <v>181</v>
      </c>
      <c r="J1492" t="s">
        <v>18</v>
      </c>
      <c r="K1492" t="s">
        <v>19</v>
      </c>
    </row>
    <row r="1493" spans="1:11">
      <c r="A1493" s="1">
        <v>46188</v>
      </c>
      <c r="B1493" t="s">
        <v>90</v>
      </c>
      <c r="C1493" t="s">
        <v>104</v>
      </c>
      <c r="D1493" t="s">
        <v>114</v>
      </c>
      <c r="E1493" t="s">
        <v>183</v>
      </c>
      <c r="F1493" t="s">
        <v>26</v>
      </c>
      <c r="G1493" s="2">
        <v>133.75</v>
      </c>
      <c r="H1493" t="s">
        <v>27</v>
      </c>
      <c r="I1493" t="s">
        <v>181</v>
      </c>
      <c r="J1493" t="s">
        <v>18</v>
      </c>
      <c r="K1493" t="s">
        <v>19</v>
      </c>
    </row>
    <row r="1494" spans="1:11">
      <c r="A1494" s="1">
        <v>46188</v>
      </c>
      <c r="B1494" t="s">
        <v>90</v>
      </c>
      <c r="C1494" t="s">
        <v>104</v>
      </c>
      <c r="D1494" t="s">
        <v>114</v>
      </c>
      <c r="E1494" t="s">
        <v>25</v>
      </c>
      <c r="F1494" t="s">
        <v>26</v>
      </c>
      <c r="G1494" s="2">
        <v>164.44</v>
      </c>
      <c r="H1494" t="s">
        <v>27</v>
      </c>
      <c r="I1494" t="s">
        <v>181</v>
      </c>
      <c r="J1494" t="s">
        <v>18</v>
      </c>
      <c r="K1494" t="s">
        <v>19</v>
      </c>
    </row>
    <row r="1495" spans="1:11">
      <c r="A1495" s="1">
        <v>46188</v>
      </c>
      <c r="B1495" t="s">
        <v>90</v>
      </c>
      <c r="C1495" t="s">
        <v>104</v>
      </c>
      <c r="D1495" t="s">
        <v>114</v>
      </c>
      <c r="E1495" t="s">
        <v>184</v>
      </c>
      <c r="F1495" t="s">
        <v>185</v>
      </c>
      <c r="G1495" s="2">
        <v>303.33</v>
      </c>
      <c r="H1495" t="s">
        <v>27</v>
      </c>
      <c r="I1495" t="s">
        <v>181</v>
      </c>
      <c r="J1495" t="s">
        <v>18</v>
      </c>
      <c r="K1495" t="s">
        <v>19</v>
      </c>
    </row>
    <row r="1496" spans="1:11">
      <c r="A1496" s="1">
        <v>46188</v>
      </c>
      <c r="B1496" t="s">
        <v>90</v>
      </c>
      <c r="C1496" t="s">
        <v>104</v>
      </c>
      <c r="D1496" t="s">
        <v>114</v>
      </c>
      <c r="E1496" t="s">
        <v>186</v>
      </c>
      <c r="F1496" t="s">
        <v>26</v>
      </c>
      <c r="G1496" s="2">
        <v>128.89</v>
      </c>
      <c r="H1496" t="s">
        <v>27</v>
      </c>
      <c r="I1496" t="s">
        <v>181</v>
      </c>
      <c r="J1496" t="s">
        <v>18</v>
      </c>
      <c r="K1496" t="s">
        <v>19</v>
      </c>
    </row>
    <row r="1497" spans="1:11">
      <c r="A1497" s="1">
        <v>46188</v>
      </c>
      <c r="B1497" t="s">
        <v>90</v>
      </c>
      <c r="C1497" t="s">
        <v>104</v>
      </c>
      <c r="D1497" t="s">
        <v>118</v>
      </c>
      <c r="E1497" t="s">
        <v>180</v>
      </c>
      <c r="F1497" t="s">
        <v>26</v>
      </c>
      <c r="G1497" s="2">
        <v>81.67</v>
      </c>
      <c r="H1497" t="s">
        <v>27</v>
      </c>
      <c r="I1497" t="s">
        <v>181</v>
      </c>
      <c r="J1497" t="s">
        <v>18</v>
      </c>
      <c r="K1497" t="s">
        <v>19</v>
      </c>
    </row>
    <row r="1498" spans="1:11">
      <c r="A1498" s="1">
        <v>46188</v>
      </c>
      <c r="B1498" t="s">
        <v>90</v>
      </c>
      <c r="C1498" t="s">
        <v>104</v>
      </c>
      <c r="D1498" t="s">
        <v>118</v>
      </c>
      <c r="E1498" t="s">
        <v>183</v>
      </c>
      <c r="F1498" t="s">
        <v>26</v>
      </c>
      <c r="G1498" s="2">
        <v>120</v>
      </c>
      <c r="H1498" t="s">
        <v>27</v>
      </c>
      <c r="I1498" t="s">
        <v>181</v>
      </c>
      <c r="J1498" t="s">
        <v>18</v>
      </c>
      <c r="K1498" t="s">
        <v>19</v>
      </c>
    </row>
    <row r="1499" spans="1:11">
      <c r="A1499" s="1">
        <v>46188</v>
      </c>
      <c r="B1499" t="s">
        <v>90</v>
      </c>
      <c r="C1499" t="s">
        <v>104</v>
      </c>
      <c r="D1499" t="s">
        <v>118</v>
      </c>
      <c r="E1499" t="s">
        <v>25</v>
      </c>
      <c r="F1499" t="s">
        <v>26</v>
      </c>
      <c r="G1499" s="2">
        <v>156.67</v>
      </c>
      <c r="H1499" t="s">
        <v>27</v>
      </c>
      <c r="I1499" t="s">
        <v>181</v>
      </c>
      <c r="J1499" t="s">
        <v>18</v>
      </c>
      <c r="K1499" t="s">
        <v>19</v>
      </c>
    </row>
    <row r="1500" spans="1:11">
      <c r="A1500" s="1">
        <v>46188</v>
      </c>
      <c r="B1500" t="s">
        <v>90</v>
      </c>
      <c r="C1500" t="s">
        <v>104</v>
      </c>
      <c r="D1500" t="s">
        <v>118</v>
      </c>
      <c r="E1500" t="s">
        <v>184</v>
      </c>
      <c r="F1500" t="s">
        <v>185</v>
      </c>
      <c r="G1500" s="2">
        <v>300</v>
      </c>
      <c r="H1500" t="s">
        <v>27</v>
      </c>
      <c r="I1500" t="s">
        <v>181</v>
      </c>
      <c r="J1500" t="s">
        <v>18</v>
      </c>
      <c r="K1500" t="s">
        <v>19</v>
      </c>
    </row>
    <row r="1501" spans="1:11">
      <c r="A1501" s="1">
        <v>46188</v>
      </c>
      <c r="B1501" t="s">
        <v>90</v>
      </c>
      <c r="C1501" t="s">
        <v>104</v>
      </c>
      <c r="D1501" t="s">
        <v>119</v>
      </c>
      <c r="E1501" t="s">
        <v>180</v>
      </c>
      <c r="F1501" t="s">
        <v>26</v>
      </c>
      <c r="G1501" s="2">
        <v>80</v>
      </c>
      <c r="H1501" t="s">
        <v>27</v>
      </c>
      <c r="I1501" t="s">
        <v>181</v>
      </c>
      <c r="J1501" t="s">
        <v>18</v>
      </c>
      <c r="K1501" t="s">
        <v>19</v>
      </c>
    </row>
    <row r="1502" spans="1:11">
      <c r="A1502" s="1">
        <v>46188</v>
      </c>
      <c r="B1502" t="s">
        <v>90</v>
      </c>
      <c r="C1502" t="s">
        <v>104</v>
      </c>
      <c r="D1502" t="s">
        <v>119</v>
      </c>
      <c r="E1502" t="s">
        <v>183</v>
      </c>
      <c r="F1502" t="s">
        <v>26</v>
      </c>
      <c r="G1502" s="2">
        <v>113.33</v>
      </c>
      <c r="H1502" t="s">
        <v>27</v>
      </c>
      <c r="I1502" t="s">
        <v>181</v>
      </c>
      <c r="J1502" t="s">
        <v>18</v>
      </c>
      <c r="K1502" t="s">
        <v>19</v>
      </c>
    </row>
    <row r="1503" spans="1:11">
      <c r="A1503" s="1">
        <v>46188</v>
      </c>
      <c r="B1503" t="s">
        <v>90</v>
      </c>
      <c r="C1503" t="s">
        <v>104</v>
      </c>
      <c r="D1503" t="s">
        <v>119</v>
      </c>
      <c r="E1503" t="s">
        <v>25</v>
      </c>
      <c r="F1503" t="s">
        <v>26</v>
      </c>
      <c r="G1503" s="2">
        <v>150</v>
      </c>
      <c r="H1503" t="s">
        <v>27</v>
      </c>
      <c r="I1503" t="s">
        <v>181</v>
      </c>
      <c r="J1503" t="s">
        <v>18</v>
      </c>
      <c r="K1503" t="s">
        <v>19</v>
      </c>
    </row>
    <row r="1504" spans="1:11">
      <c r="A1504" s="1">
        <v>46188</v>
      </c>
      <c r="B1504" t="s">
        <v>90</v>
      </c>
      <c r="C1504" t="s">
        <v>104</v>
      </c>
      <c r="D1504" t="s">
        <v>119</v>
      </c>
      <c r="E1504" t="s">
        <v>184</v>
      </c>
      <c r="F1504" t="s">
        <v>185</v>
      </c>
      <c r="G1504" s="2">
        <v>300</v>
      </c>
      <c r="H1504" t="s">
        <v>27</v>
      </c>
      <c r="I1504" t="s">
        <v>181</v>
      </c>
      <c r="J1504" t="s">
        <v>18</v>
      </c>
      <c r="K1504" t="s">
        <v>19</v>
      </c>
    </row>
    <row r="1505" spans="1:11">
      <c r="A1505" s="1">
        <v>46188</v>
      </c>
      <c r="B1505" t="s">
        <v>90</v>
      </c>
      <c r="C1505" t="s">
        <v>104</v>
      </c>
      <c r="D1505" t="s">
        <v>119</v>
      </c>
      <c r="E1505" t="s">
        <v>186</v>
      </c>
      <c r="F1505" t="s">
        <v>26</v>
      </c>
      <c r="G1505" s="2">
        <v>130</v>
      </c>
      <c r="H1505" t="s">
        <v>27</v>
      </c>
      <c r="I1505" t="s">
        <v>181</v>
      </c>
      <c r="J1505" t="s">
        <v>18</v>
      </c>
      <c r="K1505" t="s">
        <v>19</v>
      </c>
    </row>
    <row r="1506" spans="1:11">
      <c r="A1506" s="1">
        <v>46188</v>
      </c>
      <c r="B1506" t="s">
        <v>90</v>
      </c>
      <c r="C1506" t="s">
        <v>104</v>
      </c>
      <c r="D1506" t="s">
        <v>120</v>
      </c>
      <c r="E1506" t="s">
        <v>180</v>
      </c>
      <c r="F1506" t="s">
        <v>26</v>
      </c>
      <c r="G1506" s="2">
        <v>80</v>
      </c>
      <c r="H1506" t="s">
        <v>27</v>
      </c>
      <c r="I1506" t="s">
        <v>181</v>
      </c>
      <c r="J1506" t="s">
        <v>18</v>
      </c>
      <c r="K1506" t="s">
        <v>19</v>
      </c>
    </row>
    <row r="1507" spans="1:11">
      <c r="A1507" s="1">
        <v>46188</v>
      </c>
      <c r="B1507" t="s">
        <v>90</v>
      </c>
      <c r="C1507" t="s">
        <v>104</v>
      </c>
      <c r="D1507" t="s">
        <v>120</v>
      </c>
      <c r="E1507" t="s">
        <v>182</v>
      </c>
      <c r="F1507" t="s">
        <v>26</v>
      </c>
      <c r="G1507" s="2">
        <v>100</v>
      </c>
      <c r="H1507" t="s">
        <v>27</v>
      </c>
      <c r="I1507" t="s">
        <v>181</v>
      </c>
      <c r="J1507" t="s">
        <v>18</v>
      </c>
      <c r="K1507" t="s">
        <v>19</v>
      </c>
    </row>
    <row r="1508" spans="1:11">
      <c r="A1508" s="1">
        <v>46188</v>
      </c>
      <c r="B1508" t="s">
        <v>90</v>
      </c>
      <c r="C1508" t="s">
        <v>104</v>
      </c>
      <c r="D1508" t="s">
        <v>120</v>
      </c>
      <c r="E1508" t="s">
        <v>183</v>
      </c>
      <c r="F1508" t="s">
        <v>26</v>
      </c>
      <c r="G1508" s="2">
        <v>132.5</v>
      </c>
      <c r="H1508" t="s">
        <v>27</v>
      </c>
      <c r="I1508" t="s">
        <v>181</v>
      </c>
      <c r="J1508" t="s">
        <v>18</v>
      </c>
      <c r="K1508" t="s">
        <v>19</v>
      </c>
    </row>
    <row r="1509" spans="1:11">
      <c r="A1509" s="1">
        <v>46188</v>
      </c>
      <c r="B1509" t="s">
        <v>90</v>
      </c>
      <c r="C1509" t="s">
        <v>104</v>
      </c>
      <c r="D1509" t="s">
        <v>120</v>
      </c>
      <c r="E1509" t="s">
        <v>25</v>
      </c>
      <c r="F1509" t="s">
        <v>26</v>
      </c>
      <c r="G1509" s="2">
        <v>150</v>
      </c>
      <c r="H1509" t="s">
        <v>27</v>
      </c>
      <c r="I1509" t="s">
        <v>181</v>
      </c>
      <c r="J1509" t="s">
        <v>18</v>
      </c>
      <c r="K1509" t="s">
        <v>19</v>
      </c>
    </row>
    <row r="1510" spans="1:11">
      <c r="A1510" s="1">
        <v>46188</v>
      </c>
      <c r="B1510" t="s">
        <v>90</v>
      </c>
      <c r="C1510" t="s">
        <v>104</v>
      </c>
      <c r="D1510" t="s">
        <v>120</v>
      </c>
      <c r="E1510" t="s">
        <v>184</v>
      </c>
      <c r="F1510" t="s">
        <v>185</v>
      </c>
      <c r="G1510" s="2">
        <v>305</v>
      </c>
      <c r="H1510" t="s">
        <v>27</v>
      </c>
      <c r="I1510" t="s">
        <v>181</v>
      </c>
      <c r="J1510" t="s">
        <v>18</v>
      </c>
      <c r="K1510" t="s">
        <v>19</v>
      </c>
    </row>
    <row r="1511" spans="1:11">
      <c r="A1511" s="1">
        <v>46188</v>
      </c>
      <c r="B1511" t="s">
        <v>90</v>
      </c>
      <c r="C1511" t="s">
        <v>104</v>
      </c>
      <c r="D1511" t="s">
        <v>120</v>
      </c>
      <c r="E1511" t="s">
        <v>186</v>
      </c>
      <c r="F1511" t="s">
        <v>26</v>
      </c>
      <c r="G1511" s="2">
        <v>112.5</v>
      </c>
      <c r="H1511" t="s">
        <v>27</v>
      </c>
      <c r="I1511" t="s">
        <v>181</v>
      </c>
      <c r="J1511" t="s">
        <v>18</v>
      </c>
      <c r="K1511" t="s">
        <v>19</v>
      </c>
    </row>
    <row r="1512" spans="1:11">
      <c r="A1512" s="1">
        <v>46188</v>
      </c>
      <c r="B1512" t="s">
        <v>90</v>
      </c>
      <c r="C1512" t="s">
        <v>104</v>
      </c>
      <c r="D1512" t="s">
        <v>157</v>
      </c>
      <c r="E1512" t="s">
        <v>180</v>
      </c>
      <c r="F1512" t="s">
        <v>26</v>
      </c>
      <c r="G1512" s="2">
        <v>83.75</v>
      </c>
      <c r="H1512" t="s">
        <v>27</v>
      </c>
      <c r="I1512" t="s">
        <v>181</v>
      </c>
      <c r="J1512" t="s">
        <v>18</v>
      </c>
      <c r="K1512" t="s">
        <v>19</v>
      </c>
    </row>
    <row r="1513" spans="1:11">
      <c r="A1513" s="1">
        <v>46188</v>
      </c>
      <c r="B1513" t="s">
        <v>90</v>
      </c>
      <c r="C1513" t="s">
        <v>104</v>
      </c>
      <c r="D1513" t="s">
        <v>157</v>
      </c>
      <c r="E1513" t="s">
        <v>183</v>
      </c>
      <c r="F1513" t="s">
        <v>26</v>
      </c>
      <c r="G1513" s="2">
        <v>165</v>
      </c>
      <c r="H1513" t="s">
        <v>27</v>
      </c>
      <c r="I1513" t="s">
        <v>181</v>
      </c>
      <c r="J1513" t="s">
        <v>18</v>
      </c>
      <c r="K1513" t="s">
        <v>19</v>
      </c>
    </row>
    <row r="1514" spans="1:11">
      <c r="A1514" s="1">
        <v>46188</v>
      </c>
      <c r="B1514" t="s">
        <v>90</v>
      </c>
      <c r="C1514" t="s">
        <v>104</v>
      </c>
      <c r="D1514" t="s">
        <v>157</v>
      </c>
      <c r="E1514" t="s">
        <v>25</v>
      </c>
      <c r="F1514" t="s">
        <v>26</v>
      </c>
      <c r="G1514" s="2">
        <v>157.5</v>
      </c>
      <c r="H1514" t="s">
        <v>27</v>
      </c>
      <c r="I1514" t="s">
        <v>181</v>
      </c>
      <c r="J1514" t="s">
        <v>18</v>
      </c>
      <c r="K1514" t="s">
        <v>19</v>
      </c>
    </row>
    <row r="1515" spans="1:11">
      <c r="A1515" s="1">
        <v>46188</v>
      </c>
      <c r="B1515" t="s">
        <v>90</v>
      </c>
      <c r="C1515" t="s">
        <v>104</v>
      </c>
      <c r="D1515" t="s">
        <v>157</v>
      </c>
      <c r="E1515" t="s">
        <v>184</v>
      </c>
      <c r="F1515" t="s">
        <v>185</v>
      </c>
      <c r="G1515" s="2">
        <v>287.5</v>
      </c>
      <c r="H1515" t="s">
        <v>27</v>
      </c>
      <c r="I1515" t="s">
        <v>181</v>
      </c>
      <c r="J1515" t="s">
        <v>18</v>
      </c>
      <c r="K1515" t="s">
        <v>19</v>
      </c>
    </row>
    <row r="1516" spans="1:11">
      <c r="A1516" s="1">
        <v>46188</v>
      </c>
      <c r="B1516" t="s">
        <v>90</v>
      </c>
      <c r="C1516" t="s">
        <v>104</v>
      </c>
      <c r="D1516" t="s">
        <v>157</v>
      </c>
      <c r="E1516" t="s">
        <v>186</v>
      </c>
      <c r="F1516" t="s">
        <v>26</v>
      </c>
      <c r="G1516" s="2">
        <v>136.67</v>
      </c>
      <c r="H1516" t="s">
        <v>27</v>
      </c>
      <c r="I1516" t="s">
        <v>181</v>
      </c>
      <c r="J1516" t="s">
        <v>18</v>
      </c>
      <c r="K1516" t="s">
        <v>19</v>
      </c>
    </row>
    <row r="1517" spans="1:11">
      <c r="A1517" s="1">
        <v>46218</v>
      </c>
      <c r="B1517" t="s">
        <v>63</v>
      </c>
      <c r="C1517" t="s">
        <v>64</v>
      </c>
      <c r="D1517" t="s">
        <v>68</v>
      </c>
      <c r="E1517" t="s">
        <v>180</v>
      </c>
      <c r="F1517" t="s">
        <v>26</v>
      </c>
      <c r="G1517" s="2">
        <v>100</v>
      </c>
      <c r="H1517" t="s">
        <v>27</v>
      </c>
      <c r="I1517" t="s">
        <v>181</v>
      </c>
      <c r="J1517" t="s">
        <v>18</v>
      </c>
      <c r="K1517" t="s">
        <v>19</v>
      </c>
    </row>
    <row r="1518" spans="1:11">
      <c r="A1518" s="1">
        <v>46218</v>
      </c>
      <c r="B1518" t="s">
        <v>63</v>
      </c>
      <c r="C1518" t="s">
        <v>64</v>
      </c>
      <c r="D1518" t="s">
        <v>68</v>
      </c>
      <c r="E1518" t="s">
        <v>182</v>
      </c>
      <c r="F1518" t="s">
        <v>26</v>
      </c>
      <c r="G1518" s="2">
        <v>66.70999999999999</v>
      </c>
      <c r="H1518" t="s">
        <v>27</v>
      </c>
      <c r="I1518" t="s">
        <v>181</v>
      </c>
      <c r="J1518" t="s">
        <v>18</v>
      </c>
      <c r="K1518" t="s">
        <v>19</v>
      </c>
    </row>
    <row r="1519" spans="1:11">
      <c r="A1519" s="1">
        <v>46218</v>
      </c>
      <c r="B1519" t="s">
        <v>63</v>
      </c>
      <c r="C1519" t="s">
        <v>64</v>
      </c>
      <c r="D1519" t="s">
        <v>68</v>
      </c>
      <c r="E1519" t="s">
        <v>183</v>
      </c>
      <c r="F1519" t="s">
        <v>26</v>
      </c>
      <c r="G1519" s="2">
        <v>115.91</v>
      </c>
      <c r="H1519" t="s">
        <v>27</v>
      </c>
      <c r="I1519" t="s">
        <v>181</v>
      </c>
      <c r="J1519" t="s">
        <v>18</v>
      </c>
      <c r="K1519" t="s">
        <v>19</v>
      </c>
    </row>
    <row r="1520" spans="1:11">
      <c r="A1520" s="1">
        <v>46218</v>
      </c>
      <c r="B1520" t="s">
        <v>63</v>
      </c>
      <c r="C1520" t="s">
        <v>64</v>
      </c>
      <c r="D1520" t="s">
        <v>68</v>
      </c>
      <c r="E1520" t="s">
        <v>187</v>
      </c>
      <c r="F1520" t="s">
        <v>185</v>
      </c>
      <c r="G1520" s="2">
        <v>150</v>
      </c>
      <c r="H1520" t="s">
        <v>27</v>
      </c>
      <c r="I1520" t="s">
        <v>181</v>
      </c>
      <c r="J1520" t="s">
        <v>18</v>
      </c>
      <c r="K1520" t="s">
        <v>19</v>
      </c>
    </row>
    <row r="1521" spans="1:11">
      <c r="A1521" s="1">
        <v>46218</v>
      </c>
      <c r="B1521" t="s">
        <v>63</v>
      </c>
      <c r="C1521" t="s">
        <v>64</v>
      </c>
      <c r="D1521" t="s">
        <v>68</v>
      </c>
      <c r="E1521" t="s">
        <v>25</v>
      </c>
      <c r="F1521" t="s">
        <v>26</v>
      </c>
      <c r="G1521" s="2">
        <v>119.67</v>
      </c>
      <c r="H1521" t="s">
        <v>27</v>
      </c>
      <c r="I1521" t="s">
        <v>181</v>
      </c>
      <c r="J1521" t="s">
        <v>18</v>
      </c>
      <c r="K1521" t="s">
        <v>19</v>
      </c>
    </row>
    <row r="1522" spans="1:11">
      <c r="A1522" s="1">
        <v>46218</v>
      </c>
      <c r="B1522" t="s">
        <v>63</v>
      </c>
      <c r="C1522" t="s">
        <v>64</v>
      </c>
      <c r="D1522" t="s">
        <v>68</v>
      </c>
      <c r="E1522" t="s">
        <v>184</v>
      </c>
      <c r="F1522" t="s">
        <v>185</v>
      </c>
      <c r="G1522" s="2">
        <v>254.28</v>
      </c>
      <c r="H1522" t="s">
        <v>27</v>
      </c>
      <c r="I1522" t="s">
        <v>181</v>
      </c>
      <c r="J1522" t="s">
        <v>18</v>
      </c>
      <c r="K1522" t="s">
        <v>19</v>
      </c>
    </row>
    <row r="1523" spans="1:11">
      <c r="A1523" s="1">
        <v>46218</v>
      </c>
      <c r="B1523" t="s">
        <v>63</v>
      </c>
      <c r="C1523" t="s">
        <v>64</v>
      </c>
      <c r="D1523" t="s">
        <v>68</v>
      </c>
      <c r="E1523" t="s">
        <v>186</v>
      </c>
      <c r="F1523" t="s">
        <v>26</v>
      </c>
      <c r="G1523" s="2">
        <v>126.45</v>
      </c>
      <c r="H1523" t="s">
        <v>27</v>
      </c>
      <c r="I1523" t="s">
        <v>181</v>
      </c>
      <c r="J1523" t="s">
        <v>18</v>
      </c>
      <c r="K1523" t="s">
        <v>19</v>
      </c>
    </row>
    <row r="1524" spans="1:11">
      <c r="A1524" s="1">
        <v>46218</v>
      </c>
      <c r="B1524" t="s">
        <v>63</v>
      </c>
      <c r="C1524" t="s">
        <v>64</v>
      </c>
      <c r="D1524" t="s">
        <v>71</v>
      </c>
      <c r="E1524" t="s">
        <v>180</v>
      </c>
      <c r="F1524" t="s">
        <v>26</v>
      </c>
      <c r="G1524" s="2">
        <v>100</v>
      </c>
      <c r="H1524" t="s">
        <v>27</v>
      </c>
      <c r="I1524" t="s">
        <v>181</v>
      </c>
      <c r="J1524" t="s">
        <v>18</v>
      </c>
      <c r="K1524" t="s">
        <v>19</v>
      </c>
    </row>
    <row r="1525" spans="1:11">
      <c r="A1525" s="1">
        <v>46218</v>
      </c>
      <c r="B1525" t="s">
        <v>63</v>
      </c>
      <c r="C1525" t="s">
        <v>64</v>
      </c>
      <c r="D1525" t="s">
        <v>71</v>
      </c>
      <c r="E1525" t="s">
        <v>182</v>
      </c>
      <c r="F1525" t="s">
        <v>26</v>
      </c>
      <c r="G1525" s="2">
        <v>64.14</v>
      </c>
      <c r="H1525" t="s">
        <v>27</v>
      </c>
      <c r="I1525" t="s">
        <v>181</v>
      </c>
      <c r="J1525" t="s">
        <v>18</v>
      </c>
      <c r="K1525" t="s">
        <v>19</v>
      </c>
    </row>
    <row r="1526" spans="1:11">
      <c r="A1526" s="1">
        <v>46218</v>
      </c>
      <c r="B1526" t="s">
        <v>63</v>
      </c>
      <c r="C1526" t="s">
        <v>64</v>
      </c>
      <c r="D1526" t="s">
        <v>71</v>
      </c>
      <c r="E1526" t="s">
        <v>183</v>
      </c>
      <c r="F1526" t="s">
        <v>26</v>
      </c>
      <c r="G1526" s="2">
        <v>100</v>
      </c>
      <c r="H1526" t="s">
        <v>27</v>
      </c>
      <c r="I1526" t="s">
        <v>181</v>
      </c>
      <c r="J1526" t="s">
        <v>18</v>
      </c>
      <c r="K1526" t="s">
        <v>19</v>
      </c>
    </row>
    <row r="1527" spans="1:11">
      <c r="A1527" s="1">
        <v>46218</v>
      </c>
      <c r="B1527" t="s">
        <v>63</v>
      </c>
      <c r="C1527" t="s">
        <v>64</v>
      </c>
      <c r="D1527" t="s">
        <v>71</v>
      </c>
      <c r="E1527" t="s">
        <v>25</v>
      </c>
      <c r="F1527" t="s">
        <v>26</v>
      </c>
      <c r="G1527" s="2">
        <v>120</v>
      </c>
      <c r="H1527" t="s">
        <v>27</v>
      </c>
      <c r="I1527" t="s">
        <v>181</v>
      </c>
      <c r="J1527" t="s">
        <v>18</v>
      </c>
      <c r="K1527" t="s">
        <v>19</v>
      </c>
    </row>
    <row r="1528" spans="1:11">
      <c r="A1528" s="1">
        <v>46218</v>
      </c>
      <c r="B1528" t="s">
        <v>63</v>
      </c>
      <c r="C1528" t="s">
        <v>64</v>
      </c>
      <c r="D1528" t="s">
        <v>71</v>
      </c>
      <c r="E1528" t="s">
        <v>184</v>
      </c>
      <c r="F1528" t="s">
        <v>185</v>
      </c>
      <c r="G1528" s="2">
        <v>300</v>
      </c>
      <c r="H1528" t="s">
        <v>27</v>
      </c>
      <c r="I1528" t="s">
        <v>181</v>
      </c>
      <c r="J1528" t="s">
        <v>18</v>
      </c>
      <c r="K1528" t="s">
        <v>19</v>
      </c>
    </row>
    <row r="1529" spans="1:11">
      <c r="A1529" s="1">
        <v>46218</v>
      </c>
      <c r="B1529" t="s">
        <v>63</v>
      </c>
      <c r="C1529" t="s">
        <v>64</v>
      </c>
      <c r="D1529" t="s">
        <v>71</v>
      </c>
      <c r="E1529" t="s">
        <v>186</v>
      </c>
      <c r="F1529" t="s">
        <v>26</v>
      </c>
      <c r="G1529" s="2">
        <v>120</v>
      </c>
      <c r="H1529" t="s">
        <v>27</v>
      </c>
      <c r="I1529" t="s">
        <v>181</v>
      </c>
      <c r="J1529" t="s">
        <v>18</v>
      </c>
      <c r="K1529" t="s">
        <v>19</v>
      </c>
    </row>
    <row r="1530" spans="1:11">
      <c r="A1530" s="1">
        <v>46218</v>
      </c>
      <c r="B1530" t="s">
        <v>63</v>
      </c>
      <c r="C1530" t="s">
        <v>64</v>
      </c>
      <c r="D1530" t="s">
        <v>72</v>
      </c>
      <c r="E1530" t="s">
        <v>180</v>
      </c>
      <c r="F1530" t="s">
        <v>26</v>
      </c>
      <c r="G1530" s="2">
        <v>101.13</v>
      </c>
      <c r="H1530" t="s">
        <v>27</v>
      </c>
      <c r="I1530" t="s">
        <v>181</v>
      </c>
      <c r="J1530" t="s">
        <v>18</v>
      </c>
      <c r="K1530" t="s">
        <v>19</v>
      </c>
    </row>
    <row r="1531" spans="1:11">
      <c r="A1531" s="1">
        <v>46218</v>
      </c>
      <c r="B1531" t="s">
        <v>63</v>
      </c>
      <c r="C1531" t="s">
        <v>64</v>
      </c>
      <c r="D1531" t="s">
        <v>72</v>
      </c>
      <c r="E1531" t="s">
        <v>182</v>
      </c>
      <c r="F1531" t="s">
        <v>26</v>
      </c>
      <c r="G1531" s="2">
        <v>65.16</v>
      </c>
      <c r="H1531" t="s">
        <v>27</v>
      </c>
      <c r="I1531" t="s">
        <v>181</v>
      </c>
      <c r="J1531" t="s">
        <v>18</v>
      </c>
      <c r="K1531" t="s">
        <v>19</v>
      </c>
    </row>
    <row r="1532" spans="1:11">
      <c r="A1532" s="1">
        <v>46218</v>
      </c>
      <c r="B1532" t="s">
        <v>63</v>
      </c>
      <c r="C1532" t="s">
        <v>64</v>
      </c>
      <c r="D1532" t="s">
        <v>72</v>
      </c>
      <c r="E1532" t="s">
        <v>183</v>
      </c>
      <c r="F1532" t="s">
        <v>26</v>
      </c>
      <c r="G1532" s="2">
        <v>117.73</v>
      </c>
      <c r="H1532" t="s">
        <v>27</v>
      </c>
      <c r="I1532" t="s">
        <v>181</v>
      </c>
      <c r="J1532" t="s">
        <v>18</v>
      </c>
      <c r="K1532" t="s">
        <v>19</v>
      </c>
    </row>
    <row r="1533" spans="1:11">
      <c r="A1533" s="1">
        <v>46218</v>
      </c>
      <c r="B1533" t="s">
        <v>63</v>
      </c>
      <c r="C1533" t="s">
        <v>64</v>
      </c>
      <c r="D1533" t="s">
        <v>72</v>
      </c>
      <c r="E1533" t="s">
        <v>187</v>
      </c>
      <c r="F1533" t="s">
        <v>185</v>
      </c>
      <c r="G1533" s="2">
        <v>154.81</v>
      </c>
      <c r="H1533" t="s">
        <v>27</v>
      </c>
      <c r="I1533" t="s">
        <v>181</v>
      </c>
      <c r="J1533" t="s">
        <v>18</v>
      </c>
      <c r="K1533" t="s">
        <v>19</v>
      </c>
    </row>
    <row r="1534" spans="1:11">
      <c r="A1534" s="1">
        <v>46218</v>
      </c>
      <c r="B1534" t="s">
        <v>63</v>
      </c>
      <c r="C1534" t="s">
        <v>64</v>
      </c>
      <c r="D1534" t="s">
        <v>72</v>
      </c>
      <c r="E1534" t="s">
        <v>25</v>
      </c>
      <c r="F1534" t="s">
        <v>26</v>
      </c>
      <c r="G1534" s="2">
        <v>120</v>
      </c>
      <c r="H1534" t="s">
        <v>27</v>
      </c>
      <c r="I1534" t="s">
        <v>181</v>
      </c>
      <c r="J1534" t="s">
        <v>18</v>
      </c>
      <c r="K1534" t="s">
        <v>19</v>
      </c>
    </row>
    <row r="1535" spans="1:11">
      <c r="A1535" s="1">
        <v>46218</v>
      </c>
      <c r="B1535" t="s">
        <v>63</v>
      </c>
      <c r="C1535" t="s">
        <v>64</v>
      </c>
      <c r="D1535" t="s">
        <v>72</v>
      </c>
      <c r="E1535" t="s">
        <v>184</v>
      </c>
      <c r="F1535" t="s">
        <v>185</v>
      </c>
      <c r="G1535" s="2">
        <v>260.96</v>
      </c>
      <c r="H1535" t="s">
        <v>27</v>
      </c>
      <c r="I1535" t="s">
        <v>181</v>
      </c>
      <c r="J1535" t="s">
        <v>18</v>
      </c>
      <c r="K1535" t="s">
        <v>19</v>
      </c>
    </row>
    <row r="1536" spans="1:11">
      <c r="A1536" s="1">
        <v>46218</v>
      </c>
      <c r="B1536" t="s">
        <v>63</v>
      </c>
      <c r="C1536" t="s">
        <v>64</v>
      </c>
      <c r="D1536" t="s">
        <v>72</v>
      </c>
      <c r="E1536" t="s">
        <v>186</v>
      </c>
      <c r="F1536" t="s">
        <v>26</v>
      </c>
      <c r="G1536" s="2">
        <v>120.5</v>
      </c>
      <c r="H1536" t="s">
        <v>27</v>
      </c>
      <c r="I1536" t="s">
        <v>181</v>
      </c>
      <c r="J1536" t="s">
        <v>18</v>
      </c>
      <c r="K1536" t="s">
        <v>19</v>
      </c>
    </row>
    <row r="1537" spans="1:11">
      <c r="A1537" s="1">
        <v>46218</v>
      </c>
      <c r="B1537" t="s">
        <v>90</v>
      </c>
      <c r="C1537" t="s">
        <v>104</v>
      </c>
      <c r="D1537" t="s">
        <v>108</v>
      </c>
      <c r="E1537" t="s">
        <v>180</v>
      </c>
      <c r="F1537" t="s">
        <v>26</v>
      </c>
      <c r="G1537" s="2">
        <v>90</v>
      </c>
      <c r="H1537" t="s">
        <v>27</v>
      </c>
      <c r="I1537" t="s">
        <v>181</v>
      </c>
      <c r="J1537" t="s">
        <v>18</v>
      </c>
      <c r="K1537" t="s">
        <v>19</v>
      </c>
    </row>
    <row r="1538" spans="1:11">
      <c r="A1538" s="1">
        <v>46218</v>
      </c>
      <c r="B1538" t="s">
        <v>90</v>
      </c>
      <c r="C1538" t="s">
        <v>104</v>
      </c>
      <c r="D1538" t="s">
        <v>108</v>
      </c>
      <c r="E1538" t="s">
        <v>182</v>
      </c>
      <c r="F1538" t="s">
        <v>26</v>
      </c>
      <c r="G1538" s="2">
        <v>80</v>
      </c>
      <c r="H1538" t="s">
        <v>27</v>
      </c>
      <c r="I1538" t="s">
        <v>181</v>
      </c>
      <c r="J1538" t="s">
        <v>18</v>
      </c>
      <c r="K1538" t="s">
        <v>19</v>
      </c>
    </row>
    <row r="1539" spans="1:11">
      <c r="A1539" s="1">
        <v>46218</v>
      </c>
      <c r="B1539" t="s">
        <v>90</v>
      </c>
      <c r="C1539" t="s">
        <v>104</v>
      </c>
      <c r="D1539" t="s">
        <v>108</v>
      </c>
      <c r="E1539" t="s">
        <v>183</v>
      </c>
      <c r="F1539" t="s">
        <v>26</v>
      </c>
      <c r="G1539" s="2">
        <v>130</v>
      </c>
      <c r="H1539" t="s">
        <v>27</v>
      </c>
      <c r="I1539" t="s">
        <v>181</v>
      </c>
      <c r="J1539" t="s">
        <v>18</v>
      </c>
      <c r="K1539" t="s">
        <v>19</v>
      </c>
    </row>
    <row r="1540" spans="1:11">
      <c r="A1540" s="1">
        <v>46218</v>
      </c>
      <c r="B1540" t="s">
        <v>90</v>
      </c>
      <c r="C1540" t="s">
        <v>104</v>
      </c>
      <c r="D1540" t="s">
        <v>108</v>
      </c>
      <c r="E1540" t="s">
        <v>25</v>
      </c>
      <c r="F1540" t="s">
        <v>26</v>
      </c>
      <c r="G1540" s="2">
        <v>163.33</v>
      </c>
      <c r="H1540" t="s">
        <v>27</v>
      </c>
      <c r="I1540" t="s">
        <v>181</v>
      </c>
      <c r="J1540" t="s">
        <v>18</v>
      </c>
      <c r="K1540" t="s">
        <v>19</v>
      </c>
    </row>
    <row r="1541" spans="1:11">
      <c r="A1541" s="1">
        <v>46218</v>
      </c>
      <c r="B1541" t="s">
        <v>90</v>
      </c>
      <c r="C1541" t="s">
        <v>104</v>
      </c>
      <c r="D1541" t="s">
        <v>108</v>
      </c>
      <c r="E1541" t="s">
        <v>184</v>
      </c>
      <c r="F1541" t="s">
        <v>185</v>
      </c>
      <c r="G1541" s="2">
        <v>293.33</v>
      </c>
      <c r="H1541" t="s">
        <v>27</v>
      </c>
      <c r="I1541" t="s">
        <v>181</v>
      </c>
      <c r="J1541" t="s">
        <v>18</v>
      </c>
      <c r="K1541" t="s">
        <v>19</v>
      </c>
    </row>
    <row r="1542" spans="1:11">
      <c r="A1542" s="1">
        <v>46218</v>
      </c>
      <c r="B1542" t="s">
        <v>90</v>
      </c>
      <c r="C1542" t="s">
        <v>104</v>
      </c>
      <c r="D1542" t="s">
        <v>108</v>
      </c>
      <c r="E1542" t="s">
        <v>186</v>
      </c>
      <c r="F1542" t="s">
        <v>26</v>
      </c>
      <c r="G1542" s="2">
        <v>116.67</v>
      </c>
      <c r="H1542" t="s">
        <v>27</v>
      </c>
      <c r="I1542" t="s">
        <v>181</v>
      </c>
      <c r="J1542" t="s">
        <v>18</v>
      </c>
      <c r="K1542" t="s">
        <v>19</v>
      </c>
    </row>
    <row r="1543" spans="1:11">
      <c r="A1543" s="1">
        <v>46218</v>
      </c>
      <c r="B1543" t="s">
        <v>90</v>
      </c>
      <c r="C1543" t="s">
        <v>104</v>
      </c>
      <c r="D1543" t="s">
        <v>109</v>
      </c>
      <c r="E1543" t="s">
        <v>180</v>
      </c>
      <c r="F1543" t="s">
        <v>26</v>
      </c>
      <c r="G1543" s="2">
        <v>86.67</v>
      </c>
      <c r="H1543" t="s">
        <v>27</v>
      </c>
      <c r="I1543" t="s">
        <v>181</v>
      </c>
      <c r="J1543" t="s">
        <v>18</v>
      </c>
      <c r="K1543" t="s">
        <v>19</v>
      </c>
    </row>
    <row r="1544" spans="1:11">
      <c r="A1544" s="1">
        <v>46218</v>
      </c>
      <c r="B1544" t="s">
        <v>90</v>
      </c>
      <c r="C1544" t="s">
        <v>104</v>
      </c>
      <c r="D1544" t="s">
        <v>109</v>
      </c>
      <c r="E1544" t="s">
        <v>182</v>
      </c>
      <c r="F1544" t="s">
        <v>26</v>
      </c>
      <c r="G1544" s="2">
        <v>75</v>
      </c>
      <c r="H1544" t="s">
        <v>27</v>
      </c>
      <c r="I1544" t="s">
        <v>181</v>
      </c>
      <c r="J1544" t="s">
        <v>18</v>
      </c>
      <c r="K1544" t="s">
        <v>19</v>
      </c>
    </row>
    <row r="1545" spans="1:11">
      <c r="A1545" s="1">
        <v>46218</v>
      </c>
      <c r="B1545" t="s">
        <v>90</v>
      </c>
      <c r="C1545" t="s">
        <v>104</v>
      </c>
      <c r="D1545" t="s">
        <v>109</v>
      </c>
      <c r="E1545" t="s">
        <v>183</v>
      </c>
      <c r="F1545" t="s">
        <v>26</v>
      </c>
      <c r="G1545" s="2">
        <v>143.33</v>
      </c>
      <c r="H1545" t="s">
        <v>27</v>
      </c>
      <c r="I1545" t="s">
        <v>181</v>
      </c>
      <c r="J1545" t="s">
        <v>18</v>
      </c>
      <c r="K1545" t="s">
        <v>19</v>
      </c>
    </row>
    <row r="1546" spans="1:11">
      <c r="A1546" s="1">
        <v>46218</v>
      </c>
      <c r="B1546" t="s">
        <v>90</v>
      </c>
      <c r="C1546" t="s">
        <v>104</v>
      </c>
      <c r="D1546" t="s">
        <v>109</v>
      </c>
      <c r="E1546" t="s">
        <v>187</v>
      </c>
      <c r="F1546" t="s">
        <v>185</v>
      </c>
      <c r="G1546" s="2">
        <v>150</v>
      </c>
      <c r="H1546" t="s">
        <v>27</v>
      </c>
      <c r="I1546" t="s">
        <v>181</v>
      </c>
      <c r="J1546" t="s">
        <v>18</v>
      </c>
      <c r="K1546" t="s">
        <v>19</v>
      </c>
    </row>
    <row r="1547" spans="1:11">
      <c r="A1547" s="1">
        <v>46218</v>
      </c>
      <c r="B1547" t="s">
        <v>90</v>
      </c>
      <c r="C1547" t="s">
        <v>104</v>
      </c>
      <c r="D1547" t="s">
        <v>109</v>
      </c>
      <c r="E1547" t="s">
        <v>25</v>
      </c>
      <c r="F1547" t="s">
        <v>26</v>
      </c>
      <c r="G1547" s="2">
        <v>160</v>
      </c>
      <c r="H1547" t="s">
        <v>27</v>
      </c>
      <c r="I1547" t="s">
        <v>181</v>
      </c>
      <c r="J1547" t="s">
        <v>18</v>
      </c>
      <c r="K1547" t="s">
        <v>19</v>
      </c>
    </row>
    <row r="1548" spans="1:11">
      <c r="A1548" s="1">
        <v>46218</v>
      </c>
      <c r="B1548" t="s">
        <v>90</v>
      </c>
      <c r="C1548" t="s">
        <v>104</v>
      </c>
      <c r="D1548" t="s">
        <v>109</v>
      </c>
      <c r="E1548" t="s">
        <v>184</v>
      </c>
      <c r="F1548" t="s">
        <v>185</v>
      </c>
      <c r="G1548" s="2">
        <v>293.33</v>
      </c>
      <c r="H1548" t="s">
        <v>27</v>
      </c>
      <c r="I1548" t="s">
        <v>181</v>
      </c>
      <c r="J1548" t="s">
        <v>18</v>
      </c>
      <c r="K1548" t="s">
        <v>19</v>
      </c>
    </row>
    <row r="1549" spans="1:11">
      <c r="A1549" s="1">
        <v>46218</v>
      </c>
      <c r="B1549" t="s">
        <v>90</v>
      </c>
      <c r="C1549" t="s">
        <v>104</v>
      </c>
      <c r="D1549" t="s">
        <v>109</v>
      </c>
      <c r="E1549" t="s">
        <v>186</v>
      </c>
      <c r="F1549" t="s">
        <v>26</v>
      </c>
      <c r="G1549" s="2">
        <v>143.33</v>
      </c>
      <c r="H1549" t="s">
        <v>27</v>
      </c>
      <c r="I1549" t="s">
        <v>181</v>
      </c>
      <c r="J1549" t="s">
        <v>18</v>
      </c>
      <c r="K1549" t="s">
        <v>19</v>
      </c>
    </row>
    <row r="1550" spans="1:11">
      <c r="A1550" s="1">
        <v>46218</v>
      </c>
      <c r="B1550" t="s">
        <v>90</v>
      </c>
      <c r="C1550" t="s">
        <v>104</v>
      </c>
      <c r="D1550" t="s">
        <v>112</v>
      </c>
      <c r="E1550" t="s">
        <v>180</v>
      </c>
      <c r="F1550" t="s">
        <v>26</v>
      </c>
      <c r="G1550" s="2">
        <v>78.33</v>
      </c>
      <c r="H1550" t="s">
        <v>27</v>
      </c>
      <c r="I1550" t="s">
        <v>181</v>
      </c>
      <c r="J1550" t="s">
        <v>18</v>
      </c>
      <c r="K1550" t="s">
        <v>19</v>
      </c>
    </row>
    <row r="1551" spans="1:11">
      <c r="A1551" s="1">
        <v>46218</v>
      </c>
      <c r="B1551" t="s">
        <v>90</v>
      </c>
      <c r="C1551" t="s">
        <v>104</v>
      </c>
      <c r="D1551" t="s">
        <v>112</v>
      </c>
      <c r="E1551" t="s">
        <v>182</v>
      </c>
      <c r="F1551" t="s">
        <v>26</v>
      </c>
      <c r="G1551" s="2">
        <v>90</v>
      </c>
      <c r="H1551" t="s">
        <v>27</v>
      </c>
      <c r="I1551" t="s">
        <v>181</v>
      </c>
      <c r="J1551" t="s">
        <v>18</v>
      </c>
      <c r="K1551" t="s">
        <v>19</v>
      </c>
    </row>
    <row r="1552" spans="1:11">
      <c r="A1552" s="1">
        <v>46218</v>
      </c>
      <c r="B1552" t="s">
        <v>90</v>
      </c>
      <c r="C1552" t="s">
        <v>104</v>
      </c>
      <c r="D1552" t="s">
        <v>112</v>
      </c>
      <c r="E1552" t="s">
        <v>183</v>
      </c>
      <c r="F1552" t="s">
        <v>26</v>
      </c>
      <c r="G1552" s="2">
        <v>113.33</v>
      </c>
      <c r="H1552" t="s">
        <v>27</v>
      </c>
      <c r="I1552" t="s">
        <v>181</v>
      </c>
      <c r="J1552" t="s">
        <v>18</v>
      </c>
      <c r="K1552" t="s">
        <v>19</v>
      </c>
    </row>
    <row r="1553" spans="1:11">
      <c r="A1553" s="1">
        <v>46218</v>
      </c>
      <c r="B1553" t="s">
        <v>90</v>
      </c>
      <c r="C1553" t="s">
        <v>104</v>
      </c>
      <c r="D1553" t="s">
        <v>112</v>
      </c>
      <c r="E1553" t="s">
        <v>25</v>
      </c>
      <c r="F1553" t="s">
        <v>26</v>
      </c>
      <c r="G1553" s="2">
        <v>160</v>
      </c>
      <c r="H1553" t="s">
        <v>27</v>
      </c>
      <c r="I1553" t="s">
        <v>181</v>
      </c>
      <c r="J1553" t="s">
        <v>18</v>
      </c>
      <c r="K1553" t="s">
        <v>19</v>
      </c>
    </row>
    <row r="1554" spans="1:11">
      <c r="A1554" s="1">
        <v>46218</v>
      </c>
      <c r="B1554" t="s">
        <v>90</v>
      </c>
      <c r="C1554" t="s">
        <v>104</v>
      </c>
      <c r="D1554" t="s">
        <v>112</v>
      </c>
      <c r="E1554" t="s">
        <v>184</v>
      </c>
      <c r="F1554" t="s">
        <v>185</v>
      </c>
      <c r="G1554" s="2">
        <v>300</v>
      </c>
      <c r="H1554" t="s">
        <v>27</v>
      </c>
      <c r="I1554" t="s">
        <v>181</v>
      </c>
      <c r="J1554" t="s">
        <v>18</v>
      </c>
      <c r="K1554" t="s">
        <v>19</v>
      </c>
    </row>
    <row r="1555" spans="1:11">
      <c r="A1555" s="1">
        <v>46218</v>
      </c>
      <c r="B1555" t="s">
        <v>90</v>
      </c>
      <c r="C1555" t="s">
        <v>104</v>
      </c>
      <c r="D1555" t="s">
        <v>112</v>
      </c>
      <c r="E1555" t="s">
        <v>186</v>
      </c>
      <c r="F1555" t="s">
        <v>26</v>
      </c>
      <c r="G1555" s="2">
        <v>120</v>
      </c>
      <c r="H1555" t="s">
        <v>27</v>
      </c>
      <c r="I1555" t="s">
        <v>181</v>
      </c>
      <c r="J1555" t="s">
        <v>18</v>
      </c>
      <c r="K1555" t="s">
        <v>19</v>
      </c>
    </row>
    <row r="1556" spans="1:11">
      <c r="A1556" s="1">
        <v>46218</v>
      </c>
      <c r="B1556" t="s">
        <v>90</v>
      </c>
      <c r="C1556" t="s">
        <v>104</v>
      </c>
      <c r="D1556" t="s">
        <v>113</v>
      </c>
      <c r="E1556" t="s">
        <v>180</v>
      </c>
      <c r="F1556" t="s">
        <v>26</v>
      </c>
      <c r="G1556" s="2">
        <v>84.44</v>
      </c>
      <c r="H1556" t="s">
        <v>27</v>
      </c>
      <c r="I1556" t="s">
        <v>181</v>
      </c>
      <c r="J1556" t="s">
        <v>18</v>
      </c>
      <c r="K1556" t="s">
        <v>19</v>
      </c>
    </row>
    <row r="1557" spans="1:11">
      <c r="A1557" s="1">
        <v>46218</v>
      </c>
      <c r="B1557" t="s">
        <v>90</v>
      </c>
      <c r="C1557" t="s">
        <v>104</v>
      </c>
      <c r="D1557" t="s">
        <v>113</v>
      </c>
      <c r="E1557" t="s">
        <v>182</v>
      </c>
      <c r="F1557" t="s">
        <v>26</v>
      </c>
      <c r="G1557" s="2">
        <v>80</v>
      </c>
      <c r="H1557" t="s">
        <v>27</v>
      </c>
      <c r="I1557" t="s">
        <v>181</v>
      </c>
      <c r="J1557" t="s">
        <v>18</v>
      </c>
      <c r="K1557" t="s">
        <v>19</v>
      </c>
    </row>
    <row r="1558" spans="1:11">
      <c r="A1558" s="1">
        <v>46218</v>
      </c>
      <c r="B1558" t="s">
        <v>90</v>
      </c>
      <c r="C1558" t="s">
        <v>104</v>
      </c>
      <c r="D1558" t="s">
        <v>113</v>
      </c>
      <c r="E1558" t="s">
        <v>183</v>
      </c>
      <c r="F1558" t="s">
        <v>26</v>
      </c>
      <c r="G1558" s="2">
        <v>160</v>
      </c>
      <c r="H1558" t="s">
        <v>27</v>
      </c>
      <c r="I1558" t="s">
        <v>181</v>
      </c>
      <c r="J1558" t="s">
        <v>18</v>
      </c>
      <c r="K1558" t="s">
        <v>19</v>
      </c>
    </row>
    <row r="1559" spans="1:11">
      <c r="A1559" s="1">
        <v>46218</v>
      </c>
      <c r="B1559" t="s">
        <v>90</v>
      </c>
      <c r="C1559" t="s">
        <v>104</v>
      </c>
      <c r="D1559" t="s">
        <v>113</v>
      </c>
      <c r="E1559" t="s">
        <v>187</v>
      </c>
      <c r="F1559" t="s">
        <v>185</v>
      </c>
      <c r="G1559" s="2">
        <v>165</v>
      </c>
      <c r="H1559" t="s">
        <v>27</v>
      </c>
      <c r="I1559" t="s">
        <v>181</v>
      </c>
      <c r="J1559" t="s">
        <v>18</v>
      </c>
      <c r="K1559" t="s">
        <v>19</v>
      </c>
    </row>
    <row r="1560" spans="1:11">
      <c r="A1560" s="1">
        <v>46218</v>
      </c>
      <c r="B1560" t="s">
        <v>90</v>
      </c>
      <c r="C1560" t="s">
        <v>104</v>
      </c>
      <c r="D1560" t="s">
        <v>113</v>
      </c>
      <c r="E1560" t="s">
        <v>25</v>
      </c>
      <c r="F1560" t="s">
        <v>26</v>
      </c>
      <c r="G1560" s="2">
        <v>154.44</v>
      </c>
      <c r="H1560" t="s">
        <v>27</v>
      </c>
      <c r="I1560" t="s">
        <v>181</v>
      </c>
      <c r="J1560" t="s">
        <v>18</v>
      </c>
      <c r="K1560" t="s">
        <v>19</v>
      </c>
    </row>
    <row r="1561" spans="1:11">
      <c r="A1561" s="1">
        <v>46218</v>
      </c>
      <c r="B1561" t="s">
        <v>90</v>
      </c>
      <c r="C1561" t="s">
        <v>104</v>
      </c>
      <c r="D1561" t="s">
        <v>113</v>
      </c>
      <c r="E1561" t="s">
        <v>184</v>
      </c>
      <c r="F1561" t="s">
        <v>185</v>
      </c>
      <c r="G1561" s="2">
        <v>288.89</v>
      </c>
      <c r="H1561" t="s">
        <v>27</v>
      </c>
      <c r="I1561" t="s">
        <v>181</v>
      </c>
      <c r="J1561" t="s">
        <v>18</v>
      </c>
      <c r="K1561" t="s">
        <v>19</v>
      </c>
    </row>
    <row r="1562" spans="1:11">
      <c r="A1562" s="1">
        <v>46218</v>
      </c>
      <c r="B1562" t="s">
        <v>90</v>
      </c>
      <c r="C1562" t="s">
        <v>104</v>
      </c>
      <c r="D1562" t="s">
        <v>113</v>
      </c>
      <c r="E1562" t="s">
        <v>186</v>
      </c>
      <c r="F1562" t="s">
        <v>26</v>
      </c>
      <c r="G1562" s="2">
        <v>134.44</v>
      </c>
      <c r="H1562" t="s">
        <v>27</v>
      </c>
      <c r="I1562" t="s">
        <v>181</v>
      </c>
      <c r="J1562" t="s">
        <v>18</v>
      </c>
      <c r="K1562" t="s">
        <v>19</v>
      </c>
    </row>
    <row r="1563" spans="1:11">
      <c r="A1563" s="1">
        <v>46218</v>
      </c>
      <c r="B1563" t="s">
        <v>90</v>
      </c>
      <c r="C1563" t="s">
        <v>104</v>
      </c>
      <c r="D1563" t="s">
        <v>114</v>
      </c>
      <c r="E1563" t="s">
        <v>180</v>
      </c>
      <c r="F1563" t="s">
        <v>26</v>
      </c>
      <c r="G1563" s="2">
        <v>80</v>
      </c>
      <c r="H1563" t="s">
        <v>27</v>
      </c>
      <c r="I1563" t="s">
        <v>181</v>
      </c>
      <c r="J1563" t="s">
        <v>18</v>
      </c>
      <c r="K1563" t="s">
        <v>19</v>
      </c>
    </row>
    <row r="1564" spans="1:11">
      <c r="A1564" s="1">
        <v>46218</v>
      </c>
      <c r="B1564" t="s">
        <v>90</v>
      </c>
      <c r="C1564" t="s">
        <v>104</v>
      </c>
      <c r="D1564" t="s">
        <v>114</v>
      </c>
      <c r="E1564" t="s">
        <v>182</v>
      </c>
      <c r="F1564" t="s">
        <v>26</v>
      </c>
      <c r="G1564" s="2">
        <v>100</v>
      </c>
      <c r="H1564" t="s">
        <v>27</v>
      </c>
      <c r="I1564" t="s">
        <v>181</v>
      </c>
      <c r="J1564" t="s">
        <v>18</v>
      </c>
      <c r="K1564" t="s">
        <v>19</v>
      </c>
    </row>
    <row r="1565" spans="1:11">
      <c r="A1565" s="1">
        <v>46218</v>
      </c>
      <c r="B1565" t="s">
        <v>90</v>
      </c>
      <c r="C1565" t="s">
        <v>104</v>
      </c>
      <c r="D1565" t="s">
        <v>114</v>
      </c>
      <c r="E1565" t="s">
        <v>183</v>
      </c>
      <c r="F1565" t="s">
        <v>26</v>
      </c>
      <c r="G1565" s="2">
        <v>120</v>
      </c>
      <c r="H1565" t="s">
        <v>27</v>
      </c>
      <c r="I1565" t="s">
        <v>181</v>
      </c>
      <c r="J1565" t="s">
        <v>18</v>
      </c>
      <c r="K1565" t="s">
        <v>19</v>
      </c>
    </row>
    <row r="1566" spans="1:11">
      <c r="A1566" s="1">
        <v>46218</v>
      </c>
      <c r="B1566" t="s">
        <v>90</v>
      </c>
      <c r="C1566" t="s">
        <v>104</v>
      </c>
      <c r="D1566" t="s">
        <v>114</v>
      </c>
      <c r="E1566" t="s">
        <v>25</v>
      </c>
      <c r="F1566" t="s">
        <v>26</v>
      </c>
      <c r="G1566" s="2">
        <v>160</v>
      </c>
      <c r="H1566" t="s">
        <v>27</v>
      </c>
      <c r="I1566" t="s">
        <v>181</v>
      </c>
      <c r="J1566" t="s">
        <v>18</v>
      </c>
      <c r="K1566" t="s">
        <v>19</v>
      </c>
    </row>
    <row r="1567" spans="1:11">
      <c r="A1567" s="1">
        <v>46218</v>
      </c>
      <c r="B1567" t="s">
        <v>90</v>
      </c>
      <c r="C1567" t="s">
        <v>104</v>
      </c>
      <c r="D1567" t="s">
        <v>114</v>
      </c>
      <c r="E1567" t="s">
        <v>184</v>
      </c>
      <c r="F1567" t="s">
        <v>185</v>
      </c>
      <c r="G1567" s="2">
        <v>316.67</v>
      </c>
      <c r="H1567" t="s">
        <v>27</v>
      </c>
      <c r="I1567" t="s">
        <v>181</v>
      </c>
      <c r="J1567" t="s">
        <v>18</v>
      </c>
      <c r="K1567" t="s">
        <v>19</v>
      </c>
    </row>
    <row r="1568" spans="1:11">
      <c r="A1568" s="1">
        <v>46218</v>
      </c>
      <c r="B1568" t="s">
        <v>90</v>
      </c>
      <c r="C1568" t="s">
        <v>104</v>
      </c>
      <c r="D1568" t="s">
        <v>114</v>
      </c>
      <c r="E1568" t="s">
        <v>186</v>
      </c>
      <c r="F1568" t="s">
        <v>26</v>
      </c>
      <c r="G1568" s="2">
        <v>113.33</v>
      </c>
      <c r="H1568" t="s">
        <v>27</v>
      </c>
      <c r="I1568" t="s">
        <v>181</v>
      </c>
      <c r="J1568" t="s">
        <v>18</v>
      </c>
      <c r="K1568" t="s">
        <v>19</v>
      </c>
    </row>
    <row r="1569" spans="1:11">
      <c r="A1569" s="1">
        <v>46218</v>
      </c>
      <c r="B1569" t="s">
        <v>90</v>
      </c>
      <c r="C1569" t="s">
        <v>104</v>
      </c>
      <c r="D1569" t="s">
        <v>118</v>
      </c>
      <c r="E1569" t="s">
        <v>180</v>
      </c>
      <c r="F1569" t="s">
        <v>26</v>
      </c>
      <c r="G1569" s="2">
        <v>80</v>
      </c>
      <c r="H1569" t="s">
        <v>27</v>
      </c>
      <c r="I1569" t="s">
        <v>181</v>
      </c>
      <c r="J1569" t="s">
        <v>18</v>
      </c>
      <c r="K1569" t="s">
        <v>19</v>
      </c>
    </row>
    <row r="1570" spans="1:11">
      <c r="A1570" s="1">
        <v>46218</v>
      </c>
      <c r="B1570" t="s">
        <v>90</v>
      </c>
      <c r="C1570" t="s">
        <v>104</v>
      </c>
      <c r="D1570" t="s">
        <v>118</v>
      </c>
      <c r="E1570" t="s">
        <v>183</v>
      </c>
      <c r="F1570" t="s">
        <v>26</v>
      </c>
      <c r="G1570" s="2">
        <v>106.67</v>
      </c>
      <c r="H1570" t="s">
        <v>27</v>
      </c>
      <c r="I1570" t="s">
        <v>181</v>
      </c>
      <c r="J1570" t="s">
        <v>18</v>
      </c>
      <c r="K1570" t="s">
        <v>19</v>
      </c>
    </row>
    <row r="1571" spans="1:11">
      <c r="A1571" s="1">
        <v>46218</v>
      </c>
      <c r="B1571" t="s">
        <v>90</v>
      </c>
      <c r="C1571" t="s">
        <v>104</v>
      </c>
      <c r="D1571" t="s">
        <v>118</v>
      </c>
      <c r="E1571" t="s">
        <v>25</v>
      </c>
      <c r="F1571" t="s">
        <v>26</v>
      </c>
      <c r="G1571" s="2">
        <v>150</v>
      </c>
      <c r="H1571" t="s">
        <v>27</v>
      </c>
      <c r="I1571" t="s">
        <v>181</v>
      </c>
      <c r="J1571" t="s">
        <v>18</v>
      </c>
      <c r="K1571" t="s">
        <v>19</v>
      </c>
    </row>
    <row r="1572" spans="1:11">
      <c r="A1572" s="1">
        <v>46218</v>
      </c>
      <c r="B1572" t="s">
        <v>90</v>
      </c>
      <c r="C1572" t="s">
        <v>104</v>
      </c>
      <c r="D1572" t="s">
        <v>118</v>
      </c>
      <c r="E1572" t="s">
        <v>184</v>
      </c>
      <c r="F1572" t="s">
        <v>185</v>
      </c>
      <c r="G1572" s="2">
        <v>300</v>
      </c>
      <c r="H1572" t="s">
        <v>27</v>
      </c>
      <c r="I1572" t="s">
        <v>181</v>
      </c>
      <c r="J1572" t="s">
        <v>18</v>
      </c>
      <c r="K1572" t="s">
        <v>19</v>
      </c>
    </row>
    <row r="1573" spans="1:11">
      <c r="A1573" s="1">
        <v>46218</v>
      </c>
      <c r="B1573" t="s">
        <v>90</v>
      </c>
      <c r="C1573" t="s">
        <v>104</v>
      </c>
      <c r="D1573" t="s">
        <v>118</v>
      </c>
      <c r="E1573" t="s">
        <v>186</v>
      </c>
      <c r="F1573" t="s">
        <v>26</v>
      </c>
      <c r="G1573" s="2">
        <v>106.67</v>
      </c>
      <c r="H1573" t="s">
        <v>27</v>
      </c>
      <c r="I1573" t="s">
        <v>181</v>
      </c>
      <c r="J1573" t="s">
        <v>18</v>
      </c>
      <c r="K1573" t="s">
        <v>19</v>
      </c>
    </row>
    <row r="1574" spans="1:11">
      <c r="A1574" s="1">
        <v>46218</v>
      </c>
      <c r="B1574" t="s">
        <v>90</v>
      </c>
      <c r="C1574" t="s">
        <v>104</v>
      </c>
      <c r="D1574" t="s">
        <v>119</v>
      </c>
      <c r="E1574" t="s">
        <v>180</v>
      </c>
      <c r="F1574" t="s">
        <v>26</v>
      </c>
      <c r="G1574" s="2">
        <v>76.67</v>
      </c>
      <c r="H1574" t="s">
        <v>27</v>
      </c>
      <c r="I1574" t="s">
        <v>181</v>
      </c>
      <c r="J1574" t="s">
        <v>18</v>
      </c>
      <c r="K1574" t="s">
        <v>19</v>
      </c>
    </row>
    <row r="1575" spans="1:11">
      <c r="A1575" s="1">
        <v>46218</v>
      </c>
      <c r="B1575" t="s">
        <v>90</v>
      </c>
      <c r="C1575" t="s">
        <v>104</v>
      </c>
      <c r="D1575" t="s">
        <v>119</v>
      </c>
      <c r="E1575" t="s">
        <v>183</v>
      </c>
      <c r="F1575" t="s">
        <v>26</v>
      </c>
      <c r="G1575" s="2">
        <v>116.67</v>
      </c>
      <c r="H1575" t="s">
        <v>27</v>
      </c>
      <c r="I1575" t="s">
        <v>181</v>
      </c>
      <c r="J1575" t="s">
        <v>18</v>
      </c>
      <c r="K1575" t="s">
        <v>19</v>
      </c>
    </row>
    <row r="1576" spans="1:11">
      <c r="A1576" s="1">
        <v>46218</v>
      </c>
      <c r="B1576" t="s">
        <v>90</v>
      </c>
      <c r="C1576" t="s">
        <v>104</v>
      </c>
      <c r="D1576" t="s">
        <v>119</v>
      </c>
      <c r="E1576" t="s">
        <v>25</v>
      </c>
      <c r="F1576" t="s">
        <v>26</v>
      </c>
      <c r="G1576" s="2">
        <v>150</v>
      </c>
      <c r="H1576" t="s">
        <v>27</v>
      </c>
      <c r="I1576" t="s">
        <v>181</v>
      </c>
      <c r="J1576" t="s">
        <v>18</v>
      </c>
      <c r="K1576" t="s">
        <v>19</v>
      </c>
    </row>
    <row r="1577" spans="1:11">
      <c r="A1577" s="1">
        <v>46218</v>
      </c>
      <c r="B1577" t="s">
        <v>90</v>
      </c>
      <c r="C1577" t="s">
        <v>104</v>
      </c>
      <c r="D1577" t="s">
        <v>119</v>
      </c>
      <c r="E1577" t="s">
        <v>184</v>
      </c>
      <c r="F1577" t="s">
        <v>185</v>
      </c>
      <c r="G1577" s="2">
        <v>316.67</v>
      </c>
      <c r="H1577" t="s">
        <v>27</v>
      </c>
      <c r="I1577" t="s">
        <v>181</v>
      </c>
      <c r="J1577" t="s">
        <v>18</v>
      </c>
      <c r="K1577" t="s">
        <v>19</v>
      </c>
    </row>
    <row r="1578" spans="1:11">
      <c r="A1578" s="1">
        <v>46218</v>
      </c>
      <c r="B1578" t="s">
        <v>90</v>
      </c>
      <c r="C1578" t="s">
        <v>104</v>
      </c>
      <c r="D1578" t="s">
        <v>119</v>
      </c>
      <c r="E1578" t="s">
        <v>186</v>
      </c>
      <c r="F1578" t="s">
        <v>26</v>
      </c>
      <c r="G1578" s="2">
        <v>100</v>
      </c>
      <c r="H1578" t="s">
        <v>27</v>
      </c>
      <c r="I1578" t="s">
        <v>181</v>
      </c>
      <c r="J1578" t="s">
        <v>18</v>
      </c>
      <c r="K1578" t="s">
        <v>19</v>
      </c>
    </row>
    <row r="1579" spans="1:11">
      <c r="A1579" s="1">
        <v>46218</v>
      </c>
      <c r="B1579" t="s">
        <v>90</v>
      </c>
      <c r="C1579" t="s">
        <v>104</v>
      </c>
      <c r="D1579" t="s">
        <v>120</v>
      </c>
      <c r="E1579" t="s">
        <v>180</v>
      </c>
      <c r="F1579" t="s">
        <v>26</v>
      </c>
      <c r="G1579" s="2">
        <v>83.33</v>
      </c>
      <c r="H1579" t="s">
        <v>27</v>
      </c>
      <c r="I1579" t="s">
        <v>181</v>
      </c>
      <c r="J1579" t="s">
        <v>18</v>
      </c>
      <c r="K1579" t="s">
        <v>19</v>
      </c>
    </row>
    <row r="1580" spans="1:11">
      <c r="A1580" s="1">
        <v>46218</v>
      </c>
      <c r="B1580" t="s">
        <v>90</v>
      </c>
      <c r="C1580" t="s">
        <v>104</v>
      </c>
      <c r="D1580" t="s">
        <v>120</v>
      </c>
      <c r="E1580" t="s">
        <v>182</v>
      </c>
      <c r="F1580" t="s">
        <v>26</v>
      </c>
      <c r="G1580" s="2">
        <v>100</v>
      </c>
      <c r="H1580" t="s">
        <v>27</v>
      </c>
      <c r="I1580" t="s">
        <v>181</v>
      </c>
      <c r="J1580" t="s">
        <v>18</v>
      </c>
      <c r="K1580" t="s">
        <v>19</v>
      </c>
    </row>
    <row r="1581" spans="1:11">
      <c r="A1581" s="1">
        <v>46218</v>
      </c>
      <c r="B1581" t="s">
        <v>90</v>
      </c>
      <c r="C1581" t="s">
        <v>104</v>
      </c>
      <c r="D1581" t="s">
        <v>120</v>
      </c>
      <c r="E1581" t="s">
        <v>183</v>
      </c>
      <c r="F1581" t="s">
        <v>26</v>
      </c>
      <c r="G1581" s="2">
        <v>126.67</v>
      </c>
      <c r="H1581" t="s">
        <v>27</v>
      </c>
      <c r="I1581" t="s">
        <v>181</v>
      </c>
      <c r="J1581" t="s">
        <v>18</v>
      </c>
      <c r="K1581" t="s">
        <v>19</v>
      </c>
    </row>
    <row r="1582" spans="1:11">
      <c r="A1582" s="1">
        <v>46218</v>
      </c>
      <c r="B1582" t="s">
        <v>90</v>
      </c>
      <c r="C1582" t="s">
        <v>104</v>
      </c>
      <c r="D1582" t="s">
        <v>120</v>
      </c>
      <c r="E1582" t="s">
        <v>25</v>
      </c>
      <c r="F1582" t="s">
        <v>26</v>
      </c>
      <c r="G1582" s="2">
        <v>155</v>
      </c>
      <c r="H1582" t="s">
        <v>27</v>
      </c>
      <c r="I1582" t="s">
        <v>181</v>
      </c>
      <c r="J1582" t="s">
        <v>18</v>
      </c>
      <c r="K1582" t="s">
        <v>19</v>
      </c>
    </row>
    <row r="1583" spans="1:11">
      <c r="A1583" s="1">
        <v>46218</v>
      </c>
      <c r="B1583" t="s">
        <v>90</v>
      </c>
      <c r="C1583" t="s">
        <v>104</v>
      </c>
      <c r="D1583" t="s">
        <v>120</v>
      </c>
      <c r="E1583" t="s">
        <v>184</v>
      </c>
      <c r="F1583" t="s">
        <v>185</v>
      </c>
      <c r="G1583" s="2">
        <v>310</v>
      </c>
      <c r="H1583" t="s">
        <v>27</v>
      </c>
      <c r="I1583" t="s">
        <v>181</v>
      </c>
      <c r="J1583" t="s">
        <v>18</v>
      </c>
      <c r="K1583" t="s">
        <v>19</v>
      </c>
    </row>
    <row r="1584" spans="1:11">
      <c r="A1584" s="1">
        <v>46218</v>
      </c>
      <c r="B1584" t="s">
        <v>90</v>
      </c>
      <c r="C1584" t="s">
        <v>104</v>
      </c>
      <c r="D1584" t="s">
        <v>120</v>
      </c>
      <c r="E1584" t="s">
        <v>186</v>
      </c>
      <c r="F1584" t="s">
        <v>26</v>
      </c>
      <c r="G1584" s="2">
        <v>113.33</v>
      </c>
      <c r="H1584" t="s">
        <v>27</v>
      </c>
      <c r="I1584" t="s">
        <v>181</v>
      </c>
      <c r="J1584" t="s">
        <v>18</v>
      </c>
      <c r="K1584" t="s">
        <v>19</v>
      </c>
    </row>
    <row r="1585" spans="1:11">
      <c r="A1585" s="1">
        <v>46218</v>
      </c>
      <c r="B1585" t="s">
        <v>90</v>
      </c>
      <c r="C1585" t="s">
        <v>104</v>
      </c>
      <c r="D1585" t="s">
        <v>157</v>
      </c>
      <c r="E1585" t="s">
        <v>180</v>
      </c>
      <c r="F1585" t="s">
        <v>26</v>
      </c>
      <c r="G1585" s="2">
        <v>85</v>
      </c>
      <c r="H1585" t="s">
        <v>27</v>
      </c>
      <c r="I1585" t="s">
        <v>181</v>
      </c>
      <c r="J1585" t="s">
        <v>18</v>
      </c>
      <c r="K1585" t="s">
        <v>19</v>
      </c>
    </row>
    <row r="1586" spans="1:11">
      <c r="A1586" s="1">
        <v>46218</v>
      </c>
      <c r="B1586" t="s">
        <v>90</v>
      </c>
      <c r="C1586" t="s">
        <v>104</v>
      </c>
      <c r="D1586" t="s">
        <v>157</v>
      </c>
      <c r="E1586" t="s">
        <v>182</v>
      </c>
      <c r="F1586" t="s">
        <v>26</v>
      </c>
      <c r="G1586" s="2">
        <v>80</v>
      </c>
      <c r="H1586" t="s">
        <v>27</v>
      </c>
      <c r="I1586" t="s">
        <v>181</v>
      </c>
      <c r="J1586" t="s">
        <v>18</v>
      </c>
      <c r="K1586" t="s">
        <v>19</v>
      </c>
    </row>
    <row r="1587" spans="1:11">
      <c r="A1587" s="1">
        <v>46218</v>
      </c>
      <c r="B1587" t="s">
        <v>90</v>
      </c>
      <c r="C1587" t="s">
        <v>104</v>
      </c>
      <c r="D1587" t="s">
        <v>157</v>
      </c>
      <c r="E1587" t="s">
        <v>183</v>
      </c>
      <c r="F1587" t="s">
        <v>26</v>
      </c>
      <c r="G1587" s="2">
        <v>120</v>
      </c>
      <c r="H1587" t="s">
        <v>27</v>
      </c>
      <c r="I1587" t="s">
        <v>181</v>
      </c>
      <c r="J1587" t="s">
        <v>18</v>
      </c>
      <c r="K1587" t="s">
        <v>19</v>
      </c>
    </row>
    <row r="1588" spans="1:11">
      <c r="A1588" s="1">
        <v>46218</v>
      </c>
      <c r="B1588" t="s">
        <v>90</v>
      </c>
      <c r="C1588" t="s">
        <v>104</v>
      </c>
      <c r="D1588" t="s">
        <v>157</v>
      </c>
      <c r="E1588" t="s">
        <v>25</v>
      </c>
      <c r="F1588" t="s">
        <v>26</v>
      </c>
      <c r="G1588" s="2">
        <v>163.33</v>
      </c>
      <c r="H1588" t="s">
        <v>27</v>
      </c>
      <c r="I1588" t="s">
        <v>181</v>
      </c>
      <c r="J1588" t="s">
        <v>18</v>
      </c>
      <c r="K1588" t="s">
        <v>19</v>
      </c>
    </row>
    <row r="1589" spans="1:11">
      <c r="A1589" s="1">
        <v>46218</v>
      </c>
      <c r="B1589" t="s">
        <v>90</v>
      </c>
      <c r="C1589" t="s">
        <v>104</v>
      </c>
      <c r="D1589" t="s">
        <v>157</v>
      </c>
      <c r="E1589" t="s">
        <v>184</v>
      </c>
      <c r="F1589" t="s">
        <v>185</v>
      </c>
      <c r="G1589" s="2">
        <v>300</v>
      </c>
      <c r="H1589" t="s">
        <v>27</v>
      </c>
      <c r="I1589" t="s">
        <v>181</v>
      </c>
      <c r="J1589" t="s">
        <v>18</v>
      </c>
      <c r="K1589" t="s">
        <v>19</v>
      </c>
    </row>
    <row r="1590" spans="1:11">
      <c r="A1590" s="1">
        <v>46218</v>
      </c>
      <c r="B1590" t="s">
        <v>90</v>
      </c>
      <c r="C1590" t="s">
        <v>104</v>
      </c>
      <c r="D1590" t="s">
        <v>157</v>
      </c>
      <c r="E1590" t="s">
        <v>186</v>
      </c>
      <c r="F1590" t="s">
        <v>26</v>
      </c>
      <c r="G1590" s="2">
        <v>113.33</v>
      </c>
      <c r="H1590" t="s">
        <v>27</v>
      </c>
      <c r="I1590" t="s">
        <v>181</v>
      </c>
      <c r="J1590" t="s">
        <v>18</v>
      </c>
      <c r="K1590" t="s">
        <v>19</v>
      </c>
    </row>
    <row r="1591" spans="1:11">
      <c r="A1591" s="1">
        <v>46249</v>
      </c>
      <c r="B1591" t="s">
        <v>63</v>
      </c>
      <c r="C1591" t="s">
        <v>64</v>
      </c>
      <c r="D1591" t="s">
        <v>68</v>
      </c>
      <c r="E1591" t="s">
        <v>180</v>
      </c>
      <c r="F1591" t="s">
        <v>26</v>
      </c>
      <c r="G1591" s="2">
        <v>100</v>
      </c>
      <c r="H1591" t="s">
        <v>27</v>
      </c>
      <c r="I1591" t="s">
        <v>181</v>
      </c>
      <c r="J1591" t="s">
        <v>18</v>
      </c>
      <c r="K1591" t="s">
        <v>19</v>
      </c>
    </row>
    <row r="1592" spans="1:11">
      <c r="A1592" s="1">
        <v>46249</v>
      </c>
      <c r="B1592" t="s">
        <v>63</v>
      </c>
      <c r="C1592" t="s">
        <v>64</v>
      </c>
      <c r="D1592" t="s">
        <v>68</v>
      </c>
      <c r="E1592" t="s">
        <v>182</v>
      </c>
      <c r="F1592" t="s">
        <v>26</v>
      </c>
      <c r="G1592" s="2">
        <v>60</v>
      </c>
      <c r="H1592" t="s">
        <v>27</v>
      </c>
      <c r="I1592" t="s">
        <v>181</v>
      </c>
      <c r="J1592" t="s">
        <v>18</v>
      </c>
      <c r="K1592" t="s">
        <v>19</v>
      </c>
    </row>
    <row r="1593" spans="1:11">
      <c r="A1593" s="1">
        <v>46249</v>
      </c>
      <c r="B1593" t="s">
        <v>63</v>
      </c>
      <c r="C1593" t="s">
        <v>64</v>
      </c>
      <c r="D1593" t="s">
        <v>68</v>
      </c>
      <c r="E1593" t="s">
        <v>183</v>
      </c>
      <c r="F1593" t="s">
        <v>26</v>
      </c>
      <c r="G1593" s="2">
        <v>106.25</v>
      </c>
      <c r="H1593" t="s">
        <v>27</v>
      </c>
      <c r="I1593" t="s">
        <v>181</v>
      </c>
      <c r="J1593" t="s">
        <v>18</v>
      </c>
      <c r="K1593" t="s">
        <v>19</v>
      </c>
    </row>
    <row r="1594" spans="1:11">
      <c r="A1594" s="1">
        <v>46249</v>
      </c>
      <c r="B1594" t="s">
        <v>63</v>
      </c>
      <c r="C1594" t="s">
        <v>64</v>
      </c>
      <c r="D1594" t="s">
        <v>68</v>
      </c>
      <c r="E1594" t="s">
        <v>187</v>
      </c>
      <c r="F1594" t="s">
        <v>185</v>
      </c>
      <c r="G1594" s="2">
        <v>180</v>
      </c>
      <c r="H1594" t="s">
        <v>27</v>
      </c>
      <c r="I1594" t="s">
        <v>181</v>
      </c>
      <c r="J1594" t="s">
        <v>18</v>
      </c>
      <c r="K1594" t="s">
        <v>19</v>
      </c>
    </row>
    <row r="1595" spans="1:11">
      <c r="A1595" s="1">
        <v>46249</v>
      </c>
      <c r="B1595" t="s">
        <v>63</v>
      </c>
      <c r="C1595" t="s">
        <v>64</v>
      </c>
      <c r="D1595" t="s">
        <v>68</v>
      </c>
      <c r="E1595" t="s">
        <v>25</v>
      </c>
      <c r="F1595" t="s">
        <v>26</v>
      </c>
      <c r="G1595" s="2">
        <v>106.56</v>
      </c>
      <c r="H1595" t="s">
        <v>27</v>
      </c>
      <c r="I1595" t="s">
        <v>181</v>
      </c>
      <c r="J1595" t="s">
        <v>18</v>
      </c>
      <c r="K1595" t="s">
        <v>19</v>
      </c>
    </row>
    <row r="1596" spans="1:11">
      <c r="A1596" s="1">
        <v>46249</v>
      </c>
      <c r="B1596" t="s">
        <v>63</v>
      </c>
      <c r="C1596" t="s">
        <v>64</v>
      </c>
      <c r="D1596" t="s">
        <v>68</v>
      </c>
      <c r="E1596" t="s">
        <v>184</v>
      </c>
      <c r="F1596" t="s">
        <v>185</v>
      </c>
      <c r="G1596" s="2">
        <v>273.93</v>
      </c>
      <c r="H1596" t="s">
        <v>27</v>
      </c>
      <c r="I1596" t="s">
        <v>181</v>
      </c>
      <c r="J1596" t="s">
        <v>18</v>
      </c>
      <c r="K1596" t="s">
        <v>19</v>
      </c>
    </row>
    <row r="1597" spans="1:11">
      <c r="A1597" s="1">
        <v>46249</v>
      </c>
      <c r="B1597" t="s">
        <v>63</v>
      </c>
      <c r="C1597" t="s">
        <v>64</v>
      </c>
      <c r="D1597" t="s">
        <v>68</v>
      </c>
      <c r="E1597" t="s">
        <v>186</v>
      </c>
      <c r="F1597" t="s">
        <v>26</v>
      </c>
      <c r="G1597" s="2">
        <v>114.06</v>
      </c>
      <c r="H1597" t="s">
        <v>27</v>
      </c>
      <c r="I1597" t="s">
        <v>181</v>
      </c>
      <c r="J1597" t="s">
        <v>18</v>
      </c>
      <c r="K1597" t="s">
        <v>19</v>
      </c>
    </row>
    <row r="1598" spans="1:11">
      <c r="A1598" s="1">
        <v>46249</v>
      </c>
      <c r="B1598" t="s">
        <v>63</v>
      </c>
      <c r="C1598" t="s">
        <v>64</v>
      </c>
      <c r="D1598" t="s">
        <v>71</v>
      </c>
      <c r="E1598" t="s">
        <v>180</v>
      </c>
      <c r="F1598" t="s">
        <v>26</v>
      </c>
      <c r="G1598" s="2">
        <v>100.36</v>
      </c>
      <c r="H1598" t="s">
        <v>27</v>
      </c>
      <c r="I1598" t="s">
        <v>181</v>
      </c>
      <c r="J1598" t="s">
        <v>18</v>
      </c>
      <c r="K1598" t="s">
        <v>19</v>
      </c>
    </row>
    <row r="1599" spans="1:11">
      <c r="A1599" s="1">
        <v>46249</v>
      </c>
      <c r="B1599" t="s">
        <v>63</v>
      </c>
      <c r="C1599" t="s">
        <v>64</v>
      </c>
      <c r="D1599" t="s">
        <v>71</v>
      </c>
      <c r="E1599" t="s">
        <v>182</v>
      </c>
      <c r="F1599" t="s">
        <v>26</v>
      </c>
      <c r="G1599" s="2">
        <v>69.33</v>
      </c>
      <c r="H1599" t="s">
        <v>27</v>
      </c>
      <c r="I1599" t="s">
        <v>181</v>
      </c>
      <c r="J1599" t="s">
        <v>18</v>
      </c>
      <c r="K1599" t="s">
        <v>19</v>
      </c>
    </row>
    <row r="1600" spans="1:11">
      <c r="A1600" s="1">
        <v>46249</v>
      </c>
      <c r="B1600" t="s">
        <v>63</v>
      </c>
      <c r="C1600" t="s">
        <v>64</v>
      </c>
      <c r="D1600" t="s">
        <v>71</v>
      </c>
      <c r="E1600" t="s">
        <v>183</v>
      </c>
      <c r="F1600" t="s">
        <v>26</v>
      </c>
      <c r="G1600" s="2">
        <v>103.99</v>
      </c>
      <c r="H1600" t="s">
        <v>27</v>
      </c>
      <c r="I1600" t="s">
        <v>181</v>
      </c>
      <c r="J1600" t="s">
        <v>18</v>
      </c>
      <c r="K1600" t="s">
        <v>19</v>
      </c>
    </row>
    <row r="1601" spans="1:11">
      <c r="A1601" s="1">
        <v>46249</v>
      </c>
      <c r="B1601" t="s">
        <v>63</v>
      </c>
      <c r="C1601" t="s">
        <v>64</v>
      </c>
      <c r="D1601" t="s">
        <v>71</v>
      </c>
      <c r="E1601" t="s">
        <v>25</v>
      </c>
      <c r="F1601" t="s">
        <v>26</v>
      </c>
      <c r="G1601" s="2">
        <v>119.82</v>
      </c>
      <c r="H1601" t="s">
        <v>27</v>
      </c>
      <c r="I1601" t="s">
        <v>181</v>
      </c>
      <c r="J1601" t="s">
        <v>18</v>
      </c>
      <c r="K1601" t="s">
        <v>19</v>
      </c>
    </row>
    <row r="1602" spans="1:11">
      <c r="A1602" s="1">
        <v>46249</v>
      </c>
      <c r="B1602" t="s">
        <v>63</v>
      </c>
      <c r="C1602" t="s">
        <v>64</v>
      </c>
      <c r="D1602" t="s">
        <v>71</v>
      </c>
      <c r="E1602" t="s">
        <v>184</v>
      </c>
      <c r="F1602" t="s">
        <v>185</v>
      </c>
      <c r="G1602" s="2">
        <v>277.8</v>
      </c>
      <c r="H1602" t="s">
        <v>27</v>
      </c>
      <c r="I1602" t="s">
        <v>181</v>
      </c>
      <c r="J1602" t="s">
        <v>18</v>
      </c>
      <c r="K1602" t="s">
        <v>19</v>
      </c>
    </row>
    <row r="1603" spans="1:11">
      <c r="A1603" s="1">
        <v>46249</v>
      </c>
      <c r="B1603" t="s">
        <v>63</v>
      </c>
      <c r="C1603" t="s">
        <v>64</v>
      </c>
      <c r="D1603" t="s">
        <v>71</v>
      </c>
      <c r="E1603" t="s">
        <v>186</v>
      </c>
      <c r="F1603" t="s">
        <v>26</v>
      </c>
      <c r="G1603" s="2">
        <v>119.17</v>
      </c>
      <c r="H1603" t="s">
        <v>27</v>
      </c>
      <c r="I1603" t="s">
        <v>181</v>
      </c>
      <c r="J1603" t="s">
        <v>18</v>
      </c>
      <c r="K1603" t="s">
        <v>19</v>
      </c>
    </row>
    <row r="1604" spans="1:11">
      <c r="A1604" s="1">
        <v>46249</v>
      </c>
      <c r="B1604" t="s">
        <v>63</v>
      </c>
      <c r="C1604" t="s">
        <v>64</v>
      </c>
      <c r="D1604" t="s">
        <v>72</v>
      </c>
      <c r="E1604" t="s">
        <v>180</v>
      </c>
      <c r="F1604" t="s">
        <v>26</v>
      </c>
      <c r="G1604" s="2">
        <v>100.23</v>
      </c>
      <c r="H1604" t="s">
        <v>27</v>
      </c>
      <c r="I1604" t="s">
        <v>181</v>
      </c>
      <c r="J1604" t="s">
        <v>18</v>
      </c>
      <c r="K1604" t="s">
        <v>19</v>
      </c>
    </row>
    <row r="1605" spans="1:11">
      <c r="A1605" s="1">
        <v>46249</v>
      </c>
      <c r="B1605" t="s">
        <v>63</v>
      </c>
      <c r="C1605" t="s">
        <v>64</v>
      </c>
      <c r="D1605" t="s">
        <v>72</v>
      </c>
      <c r="E1605" t="s">
        <v>182</v>
      </c>
      <c r="F1605" t="s">
        <v>26</v>
      </c>
      <c r="G1605" s="2">
        <v>64.39</v>
      </c>
      <c r="H1605" t="s">
        <v>27</v>
      </c>
      <c r="I1605" t="s">
        <v>181</v>
      </c>
      <c r="J1605" t="s">
        <v>18</v>
      </c>
      <c r="K1605" t="s">
        <v>19</v>
      </c>
    </row>
    <row r="1606" spans="1:11">
      <c r="A1606" s="1">
        <v>46249</v>
      </c>
      <c r="B1606" t="s">
        <v>63</v>
      </c>
      <c r="C1606" t="s">
        <v>64</v>
      </c>
      <c r="D1606" t="s">
        <v>72</v>
      </c>
      <c r="E1606" t="s">
        <v>183</v>
      </c>
      <c r="F1606" t="s">
        <v>26</v>
      </c>
      <c r="G1606" s="2">
        <v>119.72</v>
      </c>
      <c r="H1606" t="s">
        <v>27</v>
      </c>
      <c r="I1606" t="s">
        <v>181</v>
      </c>
      <c r="J1606" t="s">
        <v>18</v>
      </c>
      <c r="K1606" t="s">
        <v>19</v>
      </c>
    </row>
    <row r="1607" spans="1:11">
      <c r="A1607" s="1">
        <v>46249</v>
      </c>
      <c r="B1607" t="s">
        <v>63</v>
      </c>
      <c r="C1607" t="s">
        <v>64</v>
      </c>
      <c r="D1607" t="s">
        <v>72</v>
      </c>
      <c r="E1607" t="s">
        <v>187</v>
      </c>
      <c r="F1607" t="s">
        <v>185</v>
      </c>
      <c r="G1607" s="2">
        <v>178.66</v>
      </c>
      <c r="H1607" t="s">
        <v>27</v>
      </c>
      <c r="I1607" t="s">
        <v>181</v>
      </c>
      <c r="J1607" t="s">
        <v>18</v>
      </c>
      <c r="K1607" t="s">
        <v>19</v>
      </c>
    </row>
    <row r="1608" spans="1:11">
      <c r="A1608" s="1">
        <v>46249</v>
      </c>
      <c r="B1608" t="s">
        <v>63</v>
      </c>
      <c r="C1608" t="s">
        <v>64</v>
      </c>
      <c r="D1608" t="s">
        <v>72</v>
      </c>
      <c r="E1608" t="s">
        <v>25</v>
      </c>
      <c r="F1608" t="s">
        <v>26</v>
      </c>
      <c r="G1608" s="2">
        <v>120</v>
      </c>
      <c r="H1608" t="s">
        <v>27</v>
      </c>
      <c r="I1608" t="s">
        <v>181</v>
      </c>
      <c r="J1608" t="s">
        <v>18</v>
      </c>
      <c r="K1608" t="s">
        <v>19</v>
      </c>
    </row>
    <row r="1609" spans="1:11">
      <c r="A1609" s="1">
        <v>46249</v>
      </c>
      <c r="B1609" t="s">
        <v>63</v>
      </c>
      <c r="C1609" t="s">
        <v>64</v>
      </c>
      <c r="D1609" t="s">
        <v>72</v>
      </c>
      <c r="E1609" t="s">
        <v>184</v>
      </c>
      <c r="F1609" t="s">
        <v>185</v>
      </c>
      <c r="G1609" s="2">
        <v>263.05</v>
      </c>
      <c r="H1609" t="s">
        <v>27</v>
      </c>
      <c r="I1609" t="s">
        <v>181</v>
      </c>
      <c r="J1609" t="s">
        <v>18</v>
      </c>
      <c r="K1609" t="s">
        <v>19</v>
      </c>
    </row>
    <row r="1610" spans="1:11">
      <c r="A1610" s="1">
        <v>46249</v>
      </c>
      <c r="B1610" t="s">
        <v>63</v>
      </c>
      <c r="C1610" t="s">
        <v>64</v>
      </c>
      <c r="D1610" t="s">
        <v>72</v>
      </c>
      <c r="E1610" t="s">
        <v>186</v>
      </c>
      <c r="F1610" t="s">
        <v>26</v>
      </c>
      <c r="G1610" s="2">
        <v>120.95</v>
      </c>
      <c r="H1610" t="s">
        <v>27</v>
      </c>
      <c r="I1610" t="s">
        <v>181</v>
      </c>
      <c r="J1610" t="s">
        <v>18</v>
      </c>
      <c r="K1610" t="s">
        <v>19</v>
      </c>
    </row>
    <row r="1611" spans="1:11">
      <c r="A1611" s="1">
        <v>46249</v>
      </c>
      <c r="B1611" t="s">
        <v>90</v>
      </c>
      <c r="C1611" t="s">
        <v>104</v>
      </c>
      <c r="D1611" t="s">
        <v>108</v>
      </c>
      <c r="E1611" t="s">
        <v>180</v>
      </c>
      <c r="F1611" t="s">
        <v>26</v>
      </c>
      <c r="G1611" s="2">
        <v>86.67</v>
      </c>
      <c r="H1611" t="s">
        <v>27</v>
      </c>
      <c r="I1611" t="s">
        <v>181</v>
      </c>
      <c r="J1611" t="s">
        <v>18</v>
      </c>
      <c r="K1611" t="s">
        <v>19</v>
      </c>
    </row>
    <row r="1612" spans="1:11">
      <c r="A1612" s="1">
        <v>46249</v>
      </c>
      <c r="B1612" t="s">
        <v>90</v>
      </c>
      <c r="C1612" t="s">
        <v>104</v>
      </c>
      <c r="D1612" t="s">
        <v>108</v>
      </c>
      <c r="E1612" t="s">
        <v>182</v>
      </c>
      <c r="F1612" t="s">
        <v>26</v>
      </c>
      <c r="G1612" s="2">
        <v>83.33</v>
      </c>
      <c r="H1612" t="s">
        <v>27</v>
      </c>
      <c r="I1612" t="s">
        <v>181</v>
      </c>
      <c r="J1612" t="s">
        <v>18</v>
      </c>
      <c r="K1612" t="s">
        <v>19</v>
      </c>
    </row>
    <row r="1613" spans="1:11">
      <c r="A1613" s="1">
        <v>46249</v>
      </c>
      <c r="B1613" t="s">
        <v>90</v>
      </c>
      <c r="C1613" t="s">
        <v>104</v>
      </c>
      <c r="D1613" t="s">
        <v>108</v>
      </c>
      <c r="E1613" t="s">
        <v>183</v>
      </c>
      <c r="F1613" t="s">
        <v>26</v>
      </c>
      <c r="G1613" s="2">
        <v>128.33</v>
      </c>
      <c r="H1613" t="s">
        <v>27</v>
      </c>
      <c r="I1613" t="s">
        <v>181</v>
      </c>
      <c r="J1613" t="s">
        <v>18</v>
      </c>
      <c r="K1613" t="s">
        <v>19</v>
      </c>
    </row>
    <row r="1614" spans="1:11">
      <c r="A1614" s="1">
        <v>46249</v>
      </c>
      <c r="B1614" t="s">
        <v>90</v>
      </c>
      <c r="C1614" t="s">
        <v>104</v>
      </c>
      <c r="D1614" t="s">
        <v>108</v>
      </c>
      <c r="E1614" t="s">
        <v>25</v>
      </c>
      <c r="F1614" t="s">
        <v>26</v>
      </c>
      <c r="G1614" s="2">
        <v>160.56</v>
      </c>
      <c r="H1614" t="s">
        <v>27</v>
      </c>
      <c r="I1614" t="s">
        <v>181</v>
      </c>
      <c r="J1614" t="s">
        <v>18</v>
      </c>
      <c r="K1614" t="s">
        <v>19</v>
      </c>
    </row>
    <row r="1615" spans="1:11">
      <c r="A1615" s="1">
        <v>46249</v>
      </c>
      <c r="B1615" t="s">
        <v>90</v>
      </c>
      <c r="C1615" t="s">
        <v>104</v>
      </c>
      <c r="D1615" t="s">
        <v>108</v>
      </c>
      <c r="E1615" t="s">
        <v>184</v>
      </c>
      <c r="F1615" t="s">
        <v>185</v>
      </c>
      <c r="G1615" s="2">
        <v>292.22</v>
      </c>
      <c r="H1615" t="s">
        <v>27</v>
      </c>
      <c r="I1615" t="s">
        <v>181</v>
      </c>
      <c r="J1615" t="s">
        <v>18</v>
      </c>
      <c r="K1615" t="s">
        <v>19</v>
      </c>
    </row>
    <row r="1616" spans="1:11">
      <c r="A1616" s="1">
        <v>46249</v>
      </c>
      <c r="B1616" t="s">
        <v>90</v>
      </c>
      <c r="C1616" t="s">
        <v>104</v>
      </c>
      <c r="D1616" t="s">
        <v>108</v>
      </c>
      <c r="E1616" t="s">
        <v>186</v>
      </c>
      <c r="F1616" t="s">
        <v>26</v>
      </c>
      <c r="G1616" s="2">
        <v>119.44</v>
      </c>
      <c r="H1616" t="s">
        <v>27</v>
      </c>
      <c r="I1616" t="s">
        <v>181</v>
      </c>
      <c r="J1616" t="s">
        <v>18</v>
      </c>
      <c r="K1616" t="s">
        <v>19</v>
      </c>
    </row>
    <row r="1617" spans="1:11">
      <c r="A1617" s="1">
        <v>46249</v>
      </c>
      <c r="B1617" t="s">
        <v>90</v>
      </c>
      <c r="C1617" t="s">
        <v>104</v>
      </c>
      <c r="D1617" t="s">
        <v>109</v>
      </c>
      <c r="E1617" t="s">
        <v>180</v>
      </c>
      <c r="F1617" t="s">
        <v>26</v>
      </c>
      <c r="G1617" s="2">
        <v>87.78</v>
      </c>
      <c r="H1617" t="s">
        <v>27</v>
      </c>
      <c r="I1617" t="s">
        <v>181</v>
      </c>
      <c r="J1617" t="s">
        <v>18</v>
      </c>
      <c r="K1617" t="s">
        <v>19</v>
      </c>
    </row>
    <row r="1618" spans="1:11">
      <c r="A1618" s="1">
        <v>46249</v>
      </c>
      <c r="B1618" t="s">
        <v>90</v>
      </c>
      <c r="C1618" t="s">
        <v>104</v>
      </c>
      <c r="D1618" t="s">
        <v>109</v>
      </c>
      <c r="E1618" t="s">
        <v>182</v>
      </c>
      <c r="F1618" t="s">
        <v>26</v>
      </c>
      <c r="G1618" s="2">
        <v>83.33</v>
      </c>
      <c r="H1618" t="s">
        <v>27</v>
      </c>
      <c r="I1618" t="s">
        <v>181</v>
      </c>
      <c r="J1618" t="s">
        <v>18</v>
      </c>
      <c r="K1618" t="s">
        <v>19</v>
      </c>
    </row>
    <row r="1619" spans="1:11">
      <c r="A1619" s="1">
        <v>46249</v>
      </c>
      <c r="B1619" t="s">
        <v>90</v>
      </c>
      <c r="C1619" t="s">
        <v>104</v>
      </c>
      <c r="D1619" t="s">
        <v>109</v>
      </c>
      <c r="E1619" t="s">
        <v>183</v>
      </c>
      <c r="F1619" t="s">
        <v>26</v>
      </c>
      <c r="G1619" s="2">
        <v>137.22</v>
      </c>
      <c r="H1619" t="s">
        <v>27</v>
      </c>
      <c r="I1619" t="s">
        <v>181</v>
      </c>
      <c r="J1619" t="s">
        <v>18</v>
      </c>
      <c r="K1619" t="s">
        <v>19</v>
      </c>
    </row>
    <row r="1620" spans="1:11">
      <c r="A1620" s="1">
        <v>46249</v>
      </c>
      <c r="B1620" t="s">
        <v>90</v>
      </c>
      <c r="C1620" t="s">
        <v>104</v>
      </c>
      <c r="D1620" t="s">
        <v>109</v>
      </c>
      <c r="E1620" t="s">
        <v>187</v>
      </c>
      <c r="F1620" t="s">
        <v>185</v>
      </c>
      <c r="G1620" s="2">
        <v>133.33</v>
      </c>
      <c r="H1620" t="s">
        <v>27</v>
      </c>
      <c r="I1620" t="s">
        <v>181</v>
      </c>
      <c r="J1620" t="s">
        <v>18</v>
      </c>
      <c r="K1620" t="s">
        <v>19</v>
      </c>
    </row>
    <row r="1621" spans="1:11">
      <c r="A1621" s="1">
        <v>46249</v>
      </c>
      <c r="B1621" t="s">
        <v>90</v>
      </c>
      <c r="C1621" t="s">
        <v>104</v>
      </c>
      <c r="D1621" t="s">
        <v>109</v>
      </c>
      <c r="E1621" t="s">
        <v>25</v>
      </c>
      <c r="F1621" t="s">
        <v>26</v>
      </c>
      <c r="G1621" s="2">
        <v>160</v>
      </c>
      <c r="H1621" t="s">
        <v>27</v>
      </c>
      <c r="I1621" t="s">
        <v>181</v>
      </c>
      <c r="J1621" t="s">
        <v>18</v>
      </c>
      <c r="K1621" t="s">
        <v>19</v>
      </c>
    </row>
    <row r="1622" spans="1:11">
      <c r="A1622" s="1">
        <v>46249</v>
      </c>
      <c r="B1622" t="s">
        <v>90</v>
      </c>
      <c r="C1622" t="s">
        <v>104</v>
      </c>
      <c r="D1622" t="s">
        <v>109</v>
      </c>
      <c r="E1622" t="s">
        <v>184</v>
      </c>
      <c r="F1622" t="s">
        <v>185</v>
      </c>
      <c r="G1622" s="2">
        <v>293.33</v>
      </c>
      <c r="H1622" t="s">
        <v>27</v>
      </c>
      <c r="I1622" t="s">
        <v>181</v>
      </c>
      <c r="J1622" t="s">
        <v>18</v>
      </c>
      <c r="K1622" t="s">
        <v>19</v>
      </c>
    </row>
    <row r="1623" spans="1:11">
      <c r="A1623" s="1">
        <v>46249</v>
      </c>
      <c r="B1623" t="s">
        <v>90</v>
      </c>
      <c r="C1623" t="s">
        <v>104</v>
      </c>
      <c r="D1623" t="s">
        <v>109</v>
      </c>
      <c r="E1623" t="s">
        <v>186</v>
      </c>
      <c r="F1623" t="s">
        <v>26</v>
      </c>
      <c r="G1623" s="2">
        <v>145.56</v>
      </c>
      <c r="H1623" t="s">
        <v>27</v>
      </c>
      <c r="I1623" t="s">
        <v>181</v>
      </c>
      <c r="J1623" t="s">
        <v>18</v>
      </c>
      <c r="K1623" t="s">
        <v>19</v>
      </c>
    </row>
    <row r="1624" spans="1:11">
      <c r="A1624" s="1">
        <v>46249</v>
      </c>
      <c r="B1624" t="s">
        <v>90</v>
      </c>
      <c r="C1624" t="s">
        <v>104</v>
      </c>
      <c r="D1624" t="s">
        <v>112</v>
      </c>
      <c r="E1624" t="s">
        <v>180</v>
      </c>
      <c r="F1624" t="s">
        <v>26</v>
      </c>
      <c r="G1624" s="2">
        <v>79.63</v>
      </c>
      <c r="H1624" t="s">
        <v>27</v>
      </c>
      <c r="I1624" t="s">
        <v>181</v>
      </c>
      <c r="J1624" t="s">
        <v>18</v>
      </c>
      <c r="K1624" t="s">
        <v>19</v>
      </c>
    </row>
    <row r="1625" spans="1:11">
      <c r="A1625" s="1">
        <v>46249</v>
      </c>
      <c r="B1625" t="s">
        <v>90</v>
      </c>
      <c r="C1625" t="s">
        <v>104</v>
      </c>
      <c r="D1625" t="s">
        <v>112</v>
      </c>
      <c r="E1625" t="s">
        <v>182</v>
      </c>
      <c r="F1625" t="s">
        <v>26</v>
      </c>
      <c r="G1625" s="2">
        <v>97.78</v>
      </c>
      <c r="H1625" t="s">
        <v>27</v>
      </c>
      <c r="I1625" t="s">
        <v>181</v>
      </c>
      <c r="J1625" t="s">
        <v>18</v>
      </c>
      <c r="K1625" t="s">
        <v>19</v>
      </c>
    </row>
    <row r="1626" spans="1:11">
      <c r="A1626" s="1">
        <v>46249</v>
      </c>
      <c r="B1626" t="s">
        <v>90</v>
      </c>
      <c r="C1626" t="s">
        <v>104</v>
      </c>
      <c r="D1626" t="s">
        <v>112</v>
      </c>
      <c r="E1626" t="s">
        <v>183</v>
      </c>
      <c r="F1626" t="s">
        <v>26</v>
      </c>
      <c r="G1626" s="2">
        <v>118.52</v>
      </c>
      <c r="H1626" t="s">
        <v>27</v>
      </c>
      <c r="I1626" t="s">
        <v>181</v>
      </c>
      <c r="J1626" t="s">
        <v>18</v>
      </c>
      <c r="K1626" t="s">
        <v>19</v>
      </c>
    </row>
    <row r="1627" spans="1:11">
      <c r="A1627" s="1">
        <v>46249</v>
      </c>
      <c r="B1627" t="s">
        <v>90</v>
      </c>
      <c r="C1627" t="s">
        <v>104</v>
      </c>
      <c r="D1627" t="s">
        <v>112</v>
      </c>
      <c r="E1627" t="s">
        <v>25</v>
      </c>
      <c r="F1627" t="s">
        <v>26</v>
      </c>
      <c r="G1627" s="2">
        <v>152.22</v>
      </c>
      <c r="H1627" t="s">
        <v>27</v>
      </c>
      <c r="I1627" t="s">
        <v>181</v>
      </c>
      <c r="J1627" t="s">
        <v>18</v>
      </c>
      <c r="K1627" t="s">
        <v>19</v>
      </c>
    </row>
    <row r="1628" spans="1:11">
      <c r="A1628" s="1">
        <v>46249</v>
      </c>
      <c r="B1628" t="s">
        <v>90</v>
      </c>
      <c r="C1628" t="s">
        <v>104</v>
      </c>
      <c r="D1628" t="s">
        <v>112</v>
      </c>
      <c r="E1628" t="s">
        <v>184</v>
      </c>
      <c r="F1628" t="s">
        <v>185</v>
      </c>
      <c r="G1628" s="2">
        <v>287.04</v>
      </c>
      <c r="H1628" t="s">
        <v>27</v>
      </c>
      <c r="I1628" t="s">
        <v>181</v>
      </c>
      <c r="J1628" t="s">
        <v>18</v>
      </c>
      <c r="K1628" t="s">
        <v>19</v>
      </c>
    </row>
    <row r="1629" spans="1:11">
      <c r="A1629" s="1">
        <v>46249</v>
      </c>
      <c r="B1629" t="s">
        <v>90</v>
      </c>
      <c r="C1629" t="s">
        <v>104</v>
      </c>
      <c r="D1629" t="s">
        <v>112</v>
      </c>
      <c r="E1629" t="s">
        <v>186</v>
      </c>
      <c r="F1629" t="s">
        <v>26</v>
      </c>
      <c r="G1629" s="2">
        <v>120</v>
      </c>
      <c r="H1629" t="s">
        <v>27</v>
      </c>
      <c r="I1629" t="s">
        <v>181</v>
      </c>
      <c r="J1629" t="s">
        <v>18</v>
      </c>
      <c r="K1629" t="s">
        <v>19</v>
      </c>
    </row>
    <row r="1630" spans="1:11">
      <c r="A1630" s="1">
        <v>46249</v>
      </c>
      <c r="B1630" t="s">
        <v>90</v>
      </c>
      <c r="C1630" t="s">
        <v>104</v>
      </c>
      <c r="D1630" t="s">
        <v>113</v>
      </c>
      <c r="E1630" t="s">
        <v>180</v>
      </c>
      <c r="F1630" t="s">
        <v>26</v>
      </c>
      <c r="G1630" s="2">
        <v>84.23</v>
      </c>
      <c r="H1630" t="s">
        <v>27</v>
      </c>
      <c r="I1630" t="s">
        <v>181</v>
      </c>
      <c r="J1630" t="s">
        <v>18</v>
      </c>
      <c r="K1630" t="s">
        <v>19</v>
      </c>
    </row>
    <row r="1631" spans="1:11">
      <c r="A1631" s="1">
        <v>46249</v>
      </c>
      <c r="B1631" t="s">
        <v>90</v>
      </c>
      <c r="C1631" t="s">
        <v>104</v>
      </c>
      <c r="D1631" t="s">
        <v>113</v>
      </c>
      <c r="E1631" t="s">
        <v>182</v>
      </c>
      <c r="F1631" t="s">
        <v>26</v>
      </c>
      <c r="G1631" s="2">
        <v>91.67</v>
      </c>
      <c r="H1631" t="s">
        <v>27</v>
      </c>
      <c r="I1631" t="s">
        <v>181</v>
      </c>
      <c r="J1631" t="s">
        <v>18</v>
      </c>
      <c r="K1631" t="s">
        <v>19</v>
      </c>
    </row>
    <row r="1632" spans="1:11">
      <c r="A1632" s="1">
        <v>46249</v>
      </c>
      <c r="B1632" t="s">
        <v>90</v>
      </c>
      <c r="C1632" t="s">
        <v>104</v>
      </c>
      <c r="D1632" t="s">
        <v>113</v>
      </c>
      <c r="E1632" t="s">
        <v>183</v>
      </c>
      <c r="F1632" t="s">
        <v>26</v>
      </c>
      <c r="G1632" s="2">
        <v>142.5</v>
      </c>
      <c r="H1632" t="s">
        <v>27</v>
      </c>
      <c r="I1632" t="s">
        <v>181</v>
      </c>
      <c r="J1632" t="s">
        <v>18</v>
      </c>
      <c r="K1632" t="s">
        <v>19</v>
      </c>
    </row>
    <row r="1633" spans="1:11">
      <c r="A1633" s="1">
        <v>46249</v>
      </c>
      <c r="B1633" t="s">
        <v>90</v>
      </c>
      <c r="C1633" t="s">
        <v>104</v>
      </c>
      <c r="D1633" t="s">
        <v>113</v>
      </c>
      <c r="E1633" t="s">
        <v>187</v>
      </c>
      <c r="F1633" t="s">
        <v>185</v>
      </c>
      <c r="G1633" s="2">
        <v>165</v>
      </c>
      <c r="H1633" t="s">
        <v>27</v>
      </c>
      <c r="I1633" t="s">
        <v>181</v>
      </c>
      <c r="J1633" t="s">
        <v>18</v>
      </c>
      <c r="K1633" t="s">
        <v>19</v>
      </c>
    </row>
    <row r="1634" spans="1:11">
      <c r="A1634" s="1">
        <v>46249</v>
      </c>
      <c r="B1634" t="s">
        <v>90</v>
      </c>
      <c r="C1634" t="s">
        <v>104</v>
      </c>
      <c r="D1634" t="s">
        <v>113</v>
      </c>
      <c r="E1634" t="s">
        <v>25</v>
      </c>
      <c r="F1634" t="s">
        <v>26</v>
      </c>
      <c r="G1634" s="2">
        <v>150.02</v>
      </c>
      <c r="H1634" t="s">
        <v>27</v>
      </c>
      <c r="I1634" t="s">
        <v>181</v>
      </c>
      <c r="J1634" t="s">
        <v>18</v>
      </c>
      <c r="K1634" t="s">
        <v>19</v>
      </c>
    </row>
    <row r="1635" spans="1:11">
      <c r="A1635" s="1">
        <v>46249</v>
      </c>
      <c r="B1635" t="s">
        <v>90</v>
      </c>
      <c r="C1635" t="s">
        <v>104</v>
      </c>
      <c r="D1635" t="s">
        <v>113</v>
      </c>
      <c r="E1635" t="s">
        <v>184</v>
      </c>
      <c r="F1635" t="s">
        <v>185</v>
      </c>
      <c r="G1635" s="2">
        <v>288.46</v>
      </c>
      <c r="H1635" t="s">
        <v>27</v>
      </c>
      <c r="I1635" t="s">
        <v>181</v>
      </c>
      <c r="J1635" t="s">
        <v>18</v>
      </c>
      <c r="K1635" t="s">
        <v>19</v>
      </c>
    </row>
    <row r="1636" spans="1:11">
      <c r="A1636" s="1">
        <v>46249</v>
      </c>
      <c r="B1636" t="s">
        <v>90</v>
      </c>
      <c r="C1636" t="s">
        <v>104</v>
      </c>
      <c r="D1636" t="s">
        <v>113</v>
      </c>
      <c r="E1636" t="s">
        <v>186</v>
      </c>
      <c r="F1636" t="s">
        <v>26</v>
      </c>
      <c r="G1636" s="2">
        <v>129.69</v>
      </c>
      <c r="H1636" t="s">
        <v>27</v>
      </c>
      <c r="I1636" t="s">
        <v>181</v>
      </c>
      <c r="J1636" t="s">
        <v>18</v>
      </c>
      <c r="K1636" t="s">
        <v>19</v>
      </c>
    </row>
    <row r="1637" spans="1:11">
      <c r="A1637" s="1">
        <v>46249</v>
      </c>
      <c r="B1637" t="s">
        <v>90</v>
      </c>
      <c r="C1637" t="s">
        <v>104</v>
      </c>
      <c r="D1637" t="s">
        <v>114</v>
      </c>
      <c r="E1637" t="s">
        <v>180</v>
      </c>
      <c r="F1637" t="s">
        <v>26</v>
      </c>
      <c r="G1637" s="2">
        <v>81.11</v>
      </c>
      <c r="H1637" t="s">
        <v>27</v>
      </c>
      <c r="I1637" t="s">
        <v>181</v>
      </c>
      <c r="J1637" t="s">
        <v>18</v>
      </c>
      <c r="K1637" t="s">
        <v>19</v>
      </c>
    </row>
    <row r="1638" spans="1:11">
      <c r="A1638" s="1">
        <v>46249</v>
      </c>
      <c r="B1638" t="s">
        <v>90</v>
      </c>
      <c r="C1638" t="s">
        <v>104</v>
      </c>
      <c r="D1638" t="s">
        <v>114</v>
      </c>
      <c r="E1638" t="s">
        <v>182</v>
      </c>
      <c r="F1638" t="s">
        <v>26</v>
      </c>
      <c r="G1638" s="2">
        <v>101.3</v>
      </c>
      <c r="H1638" t="s">
        <v>27</v>
      </c>
      <c r="I1638" t="s">
        <v>181</v>
      </c>
      <c r="J1638" t="s">
        <v>18</v>
      </c>
      <c r="K1638" t="s">
        <v>19</v>
      </c>
    </row>
    <row r="1639" spans="1:11">
      <c r="A1639" s="1">
        <v>46249</v>
      </c>
      <c r="B1639" t="s">
        <v>90</v>
      </c>
      <c r="C1639" t="s">
        <v>104</v>
      </c>
      <c r="D1639" t="s">
        <v>114</v>
      </c>
      <c r="E1639" t="s">
        <v>183</v>
      </c>
      <c r="F1639" t="s">
        <v>26</v>
      </c>
      <c r="G1639" s="2">
        <v>126.67</v>
      </c>
      <c r="H1639" t="s">
        <v>27</v>
      </c>
      <c r="I1639" t="s">
        <v>181</v>
      </c>
      <c r="J1639" t="s">
        <v>18</v>
      </c>
      <c r="K1639" t="s">
        <v>19</v>
      </c>
    </row>
    <row r="1640" spans="1:11">
      <c r="A1640" s="1">
        <v>46249</v>
      </c>
      <c r="B1640" t="s">
        <v>90</v>
      </c>
      <c r="C1640" t="s">
        <v>104</v>
      </c>
      <c r="D1640" t="s">
        <v>114</v>
      </c>
      <c r="E1640" t="s">
        <v>25</v>
      </c>
      <c r="F1640" t="s">
        <v>26</v>
      </c>
      <c r="G1640" s="2">
        <v>161.11</v>
      </c>
      <c r="H1640" t="s">
        <v>27</v>
      </c>
      <c r="I1640" t="s">
        <v>181</v>
      </c>
      <c r="J1640" t="s">
        <v>18</v>
      </c>
      <c r="K1640" t="s">
        <v>19</v>
      </c>
    </row>
    <row r="1641" spans="1:11">
      <c r="A1641" s="1">
        <v>46249</v>
      </c>
      <c r="B1641" t="s">
        <v>90</v>
      </c>
      <c r="C1641" t="s">
        <v>104</v>
      </c>
      <c r="D1641" t="s">
        <v>114</v>
      </c>
      <c r="E1641" t="s">
        <v>184</v>
      </c>
      <c r="F1641" t="s">
        <v>185</v>
      </c>
      <c r="G1641" s="2">
        <v>312.59</v>
      </c>
      <c r="H1641" t="s">
        <v>27</v>
      </c>
      <c r="I1641" t="s">
        <v>181</v>
      </c>
      <c r="J1641" t="s">
        <v>18</v>
      </c>
      <c r="K1641" t="s">
        <v>19</v>
      </c>
    </row>
    <row r="1642" spans="1:11">
      <c r="A1642" s="1">
        <v>46249</v>
      </c>
      <c r="B1642" t="s">
        <v>90</v>
      </c>
      <c r="C1642" t="s">
        <v>104</v>
      </c>
      <c r="D1642" t="s">
        <v>114</v>
      </c>
      <c r="E1642" t="s">
        <v>186</v>
      </c>
      <c r="F1642" t="s">
        <v>26</v>
      </c>
      <c r="G1642" s="2">
        <v>132.96</v>
      </c>
      <c r="H1642" t="s">
        <v>27</v>
      </c>
      <c r="I1642" t="s">
        <v>181</v>
      </c>
      <c r="J1642" t="s">
        <v>18</v>
      </c>
      <c r="K1642" t="s">
        <v>19</v>
      </c>
    </row>
    <row r="1643" spans="1:11">
      <c r="A1643" s="1">
        <v>46249</v>
      </c>
      <c r="B1643" t="s">
        <v>90</v>
      </c>
      <c r="C1643" t="s">
        <v>104</v>
      </c>
      <c r="D1643" t="s">
        <v>118</v>
      </c>
      <c r="E1643" t="s">
        <v>180</v>
      </c>
      <c r="F1643" t="s">
        <v>26</v>
      </c>
      <c r="G1643" s="2">
        <v>80</v>
      </c>
      <c r="H1643" t="s">
        <v>27</v>
      </c>
      <c r="I1643" t="s">
        <v>181</v>
      </c>
      <c r="J1643" t="s">
        <v>18</v>
      </c>
      <c r="K1643" t="s">
        <v>19</v>
      </c>
    </row>
    <row r="1644" spans="1:11">
      <c r="A1644" s="1">
        <v>46249</v>
      </c>
      <c r="B1644" t="s">
        <v>90</v>
      </c>
      <c r="C1644" t="s">
        <v>104</v>
      </c>
      <c r="D1644" t="s">
        <v>118</v>
      </c>
      <c r="E1644" t="s">
        <v>183</v>
      </c>
      <c r="F1644" t="s">
        <v>26</v>
      </c>
      <c r="G1644" s="2">
        <v>114.44</v>
      </c>
      <c r="H1644" t="s">
        <v>27</v>
      </c>
      <c r="I1644" t="s">
        <v>181</v>
      </c>
      <c r="J1644" t="s">
        <v>18</v>
      </c>
      <c r="K1644" t="s">
        <v>19</v>
      </c>
    </row>
    <row r="1645" spans="1:11">
      <c r="A1645" s="1">
        <v>46249</v>
      </c>
      <c r="B1645" t="s">
        <v>90</v>
      </c>
      <c r="C1645" t="s">
        <v>104</v>
      </c>
      <c r="D1645" t="s">
        <v>118</v>
      </c>
      <c r="E1645" t="s">
        <v>25</v>
      </c>
      <c r="F1645" t="s">
        <v>26</v>
      </c>
      <c r="G1645" s="2">
        <v>147.41</v>
      </c>
      <c r="H1645" t="s">
        <v>27</v>
      </c>
      <c r="I1645" t="s">
        <v>181</v>
      </c>
      <c r="J1645" t="s">
        <v>18</v>
      </c>
      <c r="K1645" t="s">
        <v>19</v>
      </c>
    </row>
    <row r="1646" spans="1:11">
      <c r="A1646" s="1">
        <v>46249</v>
      </c>
      <c r="B1646" t="s">
        <v>90</v>
      </c>
      <c r="C1646" t="s">
        <v>104</v>
      </c>
      <c r="D1646" t="s">
        <v>118</v>
      </c>
      <c r="E1646" t="s">
        <v>184</v>
      </c>
      <c r="F1646" t="s">
        <v>185</v>
      </c>
      <c r="G1646" s="2">
        <v>300</v>
      </c>
      <c r="H1646" t="s">
        <v>27</v>
      </c>
      <c r="I1646" t="s">
        <v>181</v>
      </c>
      <c r="J1646" t="s">
        <v>18</v>
      </c>
      <c r="K1646" t="s">
        <v>19</v>
      </c>
    </row>
    <row r="1647" spans="1:11">
      <c r="A1647" s="1">
        <v>46249</v>
      </c>
      <c r="B1647" t="s">
        <v>90</v>
      </c>
      <c r="C1647" t="s">
        <v>104</v>
      </c>
      <c r="D1647" t="s">
        <v>118</v>
      </c>
      <c r="E1647" t="s">
        <v>186</v>
      </c>
      <c r="F1647" t="s">
        <v>26</v>
      </c>
      <c r="G1647" s="2">
        <v>101.48</v>
      </c>
      <c r="H1647" t="s">
        <v>27</v>
      </c>
      <c r="I1647" t="s">
        <v>181</v>
      </c>
      <c r="J1647" t="s">
        <v>18</v>
      </c>
      <c r="K1647" t="s">
        <v>19</v>
      </c>
    </row>
    <row r="1648" spans="1:11">
      <c r="A1648" s="1">
        <v>46249</v>
      </c>
      <c r="B1648" t="s">
        <v>90</v>
      </c>
      <c r="C1648" t="s">
        <v>104</v>
      </c>
      <c r="D1648" t="s">
        <v>119</v>
      </c>
      <c r="E1648" t="s">
        <v>180</v>
      </c>
      <c r="F1648" t="s">
        <v>26</v>
      </c>
      <c r="G1648" s="2">
        <v>79.26000000000001</v>
      </c>
      <c r="H1648" t="s">
        <v>27</v>
      </c>
      <c r="I1648" t="s">
        <v>181</v>
      </c>
      <c r="J1648" t="s">
        <v>18</v>
      </c>
      <c r="K1648" t="s">
        <v>19</v>
      </c>
    </row>
    <row r="1649" spans="1:11">
      <c r="A1649" s="1">
        <v>46249</v>
      </c>
      <c r="B1649" t="s">
        <v>90</v>
      </c>
      <c r="C1649" t="s">
        <v>104</v>
      </c>
      <c r="D1649" t="s">
        <v>119</v>
      </c>
      <c r="E1649" t="s">
        <v>182</v>
      </c>
      <c r="F1649" t="s">
        <v>26</v>
      </c>
      <c r="G1649" s="2">
        <v>100</v>
      </c>
      <c r="H1649" t="s">
        <v>27</v>
      </c>
      <c r="I1649" t="s">
        <v>181</v>
      </c>
      <c r="J1649" t="s">
        <v>18</v>
      </c>
      <c r="K1649" t="s">
        <v>19</v>
      </c>
    </row>
    <row r="1650" spans="1:11">
      <c r="A1650" s="1">
        <v>46249</v>
      </c>
      <c r="B1650" t="s">
        <v>90</v>
      </c>
      <c r="C1650" t="s">
        <v>104</v>
      </c>
      <c r="D1650" t="s">
        <v>119</v>
      </c>
      <c r="E1650" t="s">
        <v>183</v>
      </c>
      <c r="F1650" t="s">
        <v>26</v>
      </c>
      <c r="G1650" s="2">
        <v>116.67</v>
      </c>
      <c r="H1650" t="s">
        <v>27</v>
      </c>
      <c r="I1650" t="s">
        <v>181</v>
      </c>
      <c r="J1650" t="s">
        <v>18</v>
      </c>
      <c r="K1650" t="s">
        <v>19</v>
      </c>
    </row>
    <row r="1651" spans="1:11">
      <c r="A1651" s="1">
        <v>46249</v>
      </c>
      <c r="B1651" t="s">
        <v>90</v>
      </c>
      <c r="C1651" t="s">
        <v>104</v>
      </c>
      <c r="D1651" t="s">
        <v>119</v>
      </c>
      <c r="E1651" t="s">
        <v>25</v>
      </c>
      <c r="F1651" t="s">
        <v>26</v>
      </c>
      <c r="G1651" s="2">
        <v>147.41</v>
      </c>
      <c r="H1651" t="s">
        <v>27</v>
      </c>
      <c r="I1651" t="s">
        <v>181</v>
      </c>
      <c r="J1651" t="s">
        <v>18</v>
      </c>
      <c r="K1651" t="s">
        <v>19</v>
      </c>
    </row>
    <row r="1652" spans="1:11">
      <c r="A1652" s="1">
        <v>46249</v>
      </c>
      <c r="B1652" t="s">
        <v>90</v>
      </c>
      <c r="C1652" t="s">
        <v>104</v>
      </c>
      <c r="D1652" t="s">
        <v>119</v>
      </c>
      <c r="E1652" t="s">
        <v>184</v>
      </c>
      <c r="F1652" t="s">
        <v>185</v>
      </c>
      <c r="G1652" s="2">
        <v>298.52</v>
      </c>
      <c r="H1652" t="s">
        <v>27</v>
      </c>
      <c r="I1652" t="s">
        <v>181</v>
      </c>
      <c r="J1652" t="s">
        <v>18</v>
      </c>
      <c r="K1652" t="s">
        <v>19</v>
      </c>
    </row>
    <row r="1653" spans="1:11">
      <c r="A1653" s="1">
        <v>46249</v>
      </c>
      <c r="B1653" t="s">
        <v>90</v>
      </c>
      <c r="C1653" t="s">
        <v>104</v>
      </c>
      <c r="D1653" t="s">
        <v>119</v>
      </c>
      <c r="E1653" t="s">
        <v>186</v>
      </c>
      <c r="F1653" t="s">
        <v>26</v>
      </c>
      <c r="G1653" s="2">
        <v>127.22</v>
      </c>
      <c r="H1653" t="s">
        <v>27</v>
      </c>
      <c r="I1653" t="s">
        <v>181</v>
      </c>
      <c r="J1653" t="s">
        <v>18</v>
      </c>
      <c r="K1653" t="s">
        <v>19</v>
      </c>
    </row>
    <row r="1654" spans="1:11">
      <c r="A1654" s="1">
        <v>46249</v>
      </c>
      <c r="B1654" t="s">
        <v>90</v>
      </c>
      <c r="C1654" t="s">
        <v>104</v>
      </c>
      <c r="D1654" t="s">
        <v>120</v>
      </c>
      <c r="E1654" t="s">
        <v>180</v>
      </c>
      <c r="F1654" t="s">
        <v>26</v>
      </c>
      <c r="G1654" s="2">
        <v>80.73999999999999</v>
      </c>
      <c r="H1654" t="s">
        <v>27</v>
      </c>
      <c r="I1654" t="s">
        <v>181</v>
      </c>
      <c r="J1654" t="s">
        <v>18</v>
      </c>
      <c r="K1654" t="s">
        <v>19</v>
      </c>
    </row>
    <row r="1655" spans="1:11">
      <c r="A1655" s="1">
        <v>46249</v>
      </c>
      <c r="B1655" t="s">
        <v>90</v>
      </c>
      <c r="C1655" t="s">
        <v>104</v>
      </c>
      <c r="D1655" t="s">
        <v>120</v>
      </c>
      <c r="E1655" t="s">
        <v>182</v>
      </c>
      <c r="F1655" t="s">
        <v>26</v>
      </c>
      <c r="G1655" s="2">
        <v>100</v>
      </c>
      <c r="H1655" t="s">
        <v>27</v>
      </c>
      <c r="I1655" t="s">
        <v>181</v>
      </c>
      <c r="J1655" t="s">
        <v>18</v>
      </c>
      <c r="K1655" t="s">
        <v>19</v>
      </c>
    </row>
    <row r="1656" spans="1:11">
      <c r="A1656" s="1">
        <v>46249</v>
      </c>
      <c r="B1656" t="s">
        <v>90</v>
      </c>
      <c r="C1656" t="s">
        <v>104</v>
      </c>
      <c r="D1656" t="s">
        <v>120</v>
      </c>
      <c r="E1656" t="s">
        <v>183</v>
      </c>
      <c r="F1656" t="s">
        <v>26</v>
      </c>
      <c r="G1656" s="2">
        <v>116.3</v>
      </c>
      <c r="H1656" t="s">
        <v>27</v>
      </c>
      <c r="I1656" t="s">
        <v>181</v>
      </c>
      <c r="J1656" t="s">
        <v>18</v>
      </c>
      <c r="K1656" t="s">
        <v>19</v>
      </c>
    </row>
    <row r="1657" spans="1:11">
      <c r="A1657" s="1">
        <v>46249</v>
      </c>
      <c r="B1657" t="s">
        <v>90</v>
      </c>
      <c r="C1657" t="s">
        <v>104</v>
      </c>
      <c r="D1657" t="s">
        <v>120</v>
      </c>
      <c r="E1657" t="s">
        <v>25</v>
      </c>
      <c r="F1657" t="s">
        <v>26</v>
      </c>
      <c r="G1657" s="2">
        <v>145.93</v>
      </c>
      <c r="H1657" t="s">
        <v>27</v>
      </c>
      <c r="I1657" t="s">
        <v>181</v>
      </c>
      <c r="J1657" t="s">
        <v>18</v>
      </c>
      <c r="K1657" t="s">
        <v>19</v>
      </c>
    </row>
    <row r="1658" spans="1:11">
      <c r="A1658" s="1">
        <v>46249</v>
      </c>
      <c r="B1658" t="s">
        <v>90</v>
      </c>
      <c r="C1658" t="s">
        <v>104</v>
      </c>
      <c r="D1658" t="s">
        <v>120</v>
      </c>
      <c r="E1658" t="s">
        <v>184</v>
      </c>
      <c r="F1658" t="s">
        <v>185</v>
      </c>
      <c r="G1658" s="2">
        <v>289.26</v>
      </c>
      <c r="H1658" t="s">
        <v>27</v>
      </c>
      <c r="I1658" t="s">
        <v>181</v>
      </c>
      <c r="J1658" t="s">
        <v>18</v>
      </c>
      <c r="K1658" t="s">
        <v>19</v>
      </c>
    </row>
    <row r="1659" spans="1:11">
      <c r="A1659" s="1">
        <v>46249</v>
      </c>
      <c r="B1659" t="s">
        <v>90</v>
      </c>
      <c r="C1659" t="s">
        <v>104</v>
      </c>
      <c r="D1659" t="s">
        <v>120</v>
      </c>
      <c r="E1659" t="s">
        <v>186</v>
      </c>
      <c r="F1659" t="s">
        <v>26</v>
      </c>
      <c r="G1659" s="2">
        <v>115.93</v>
      </c>
      <c r="H1659" t="s">
        <v>27</v>
      </c>
      <c r="I1659" t="s">
        <v>181</v>
      </c>
      <c r="J1659" t="s">
        <v>18</v>
      </c>
      <c r="K1659" t="s">
        <v>19</v>
      </c>
    </row>
    <row r="1660" spans="1:11">
      <c r="A1660" s="1">
        <v>46249</v>
      </c>
      <c r="B1660" t="s">
        <v>90</v>
      </c>
      <c r="C1660" t="s">
        <v>104</v>
      </c>
      <c r="D1660" t="s">
        <v>157</v>
      </c>
      <c r="E1660" t="s">
        <v>180</v>
      </c>
      <c r="F1660" t="s">
        <v>26</v>
      </c>
      <c r="G1660" s="2">
        <v>83.33</v>
      </c>
      <c r="H1660" t="s">
        <v>27</v>
      </c>
      <c r="I1660" t="s">
        <v>181</v>
      </c>
      <c r="J1660" t="s">
        <v>18</v>
      </c>
      <c r="K1660" t="s">
        <v>19</v>
      </c>
    </row>
    <row r="1661" spans="1:11">
      <c r="A1661" s="1">
        <v>46249</v>
      </c>
      <c r="B1661" t="s">
        <v>90</v>
      </c>
      <c r="C1661" t="s">
        <v>104</v>
      </c>
      <c r="D1661" t="s">
        <v>157</v>
      </c>
      <c r="E1661" t="s">
        <v>182</v>
      </c>
      <c r="F1661" t="s">
        <v>26</v>
      </c>
      <c r="G1661" s="2">
        <v>86.67</v>
      </c>
      <c r="H1661" t="s">
        <v>27</v>
      </c>
      <c r="I1661" t="s">
        <v>181</v>
      </c>
      <c r="J1661" t="s">
        <v>18</v>
      </c>
      <c r="K1661" t="s">
        <v>19</v>
      </c>
    </row>
    <row r="1662" spans="1:11">
      <c r="A1662" s="1">
        <v>46249</v>
      </c>
      <c r="B1662" t="s">
        <v>90</v>
      </c>
      <c r="C1662" t="s">
        <v>104</v>
      </c>
      <c r="D1662" t="s">
        <v>157</v>
      </c>
      <c r="E1662" t="s">
        <v>183</v>
      </c>
      <c r="F1662" t="s">
        <v>26</v>
      </c>
      <c r="G1662" s="2">
        <v>122.22</v>
      </c>
      <c r="H1662" t="s">
        <v>27</v>
      </c>
      <c r="I1662" t="s">
        <v>181</v>
      </c>
      <c r="J1662" t="s">
        <v>18</v>
      </c>
      <c r="K1662" t="s">
        <v>19</v>
      </c>
    </row>
    <row r="1663" spans="1:11">
      <c r="A1663" s="1">
        <v>46249</v>
      </c>
      <c r="B1663" t="s">
        <v>90</v>
      </c>
      <c r="C1663" t="s">
        <v>104</v>
      </c>
      <c r="D1663" t="s">
        <v>157</v>
      </c>
      <c r="E1663" t="s">
        <v>25</v>
      </c>
      <c r="F1663" t="s">
        <v>26</v>
      </c>
      <c r="G1663" s="2">
        <v>160</v>
      </c>
      <c r="H1663" t="s">
        <v>27</v>
      </c>
      <c r="I1663" t="s">
        <v>181</v>
      </c>
      <c r="J1663" t="s">
        <v>18</v>
      </c>
      <c r="K1663" t="s">
        <v>19</v>
      </c>
    </row>
    <row r="1664" spans="1:11">
      <c r="A1664" s="1">
        <v>46249</v>
      </c>
      <c r="B1664" t="s">
        <v>90</v>
      </c>
      <c r="C1664" t="s">
        <v>104</v>
      </c>
      <c r="D1664" t="s">
        <v>157</v>
      </c>
      <c r="E1664" t="s">
        <v>184</v>
      </c>
      <c r="F1664" t="s">
        <v>185</v>
      </c>
      <c r="G1664" s="2">
        <v>295.56</v>
      </c>
      <c r="H1664" t="s">
        <v>27</v>
      </c>
      <c r="I1664" t="s">
        <v>181</v>
      </c>
      <c r="J1664" t="s">
        <v>18</v>
      </c>
      <c r="K1664" t="s">
        <v>19</v>
      </c>
    </row>
    <row r="1665" spans="1:11">
      <c r="A1665" s="1">
        <v>46249</v>
      </c>
      <c r="B1665" t="s">
        <v>90</v>
      </c>
      <c r="C1665" t="s">
        <v>104</v>
      </c>
      <c r="D1665" t="s">
        <v>157</v>
      </c>
      <c r="E1665" t="s">
        <v>186</v>
      </c>
      <c r="F1665" t="s">
        <v>26</v>
      </c>
      <c r="G1665" s="2">
        <v>120</v>
      </c>
      <c r="H1665" t="s">
        <v>27</v>
      </c>
      <c r="I1665" t="s">
        <v>181</v>
      </c>
      <c r="J1665" t="s">
        <v>18</v>
      </c>
      <c r="K1665" t="s">
        <v>19</v>
      </c>
    </row>
    <row r="1666" spans="1:11">
      <c r="A1666" s="1">
        <v>46280</v>
      </c>
      <c r="B1666" t="s">
        <v>63</v>
      </c>
      <c r="C1666" t="s">
        <v>64</v>
      </c>
      <c r="D1666" t="s">
        <v>72</v>
      </c>
      <c r="E1666" t="s">
        <v>180</v>
      </c>
      <c r="F1666" t="s">
        <v>26</v>
      </c>
      <c r="G1666" s="2">
        <v>100</v>
      </c>
      <c r="H1666" t="s">
        <v>27</v>
      </c>
      <c r="I1666" t="s">
        <v>181</v>
      </c>
      <c r="J1666" t="s">
        <v>18</v>
      </c>
      <c r="K1666" t="s">
        <v>19</v>
      </c>
    </row>
    <row r="1667" spans="1:11">
      <c r="A1667" s="1">
        <v>46280</v>
      </c>
      <c r="B1667" t="s">
        <v>63</v>
      </c>
      <c r="C1667" t="s">
        <v>64</v>
      </c>
      <c r="D1667" t="s">
        <v>72</v>
      </c>
      <c r="E1667" t="s">
        <v>183</v>
      </c>
      <c r="F1667" t="s">
        <v>26</v>
      </c>
      <c r="G1667" s="2">
        <v>106.67</v>
      </c>
      <c r="H1667" t="s">
        <v>27</v>
      </c>
      <c r="I1667" t="s">
        <v>181</v>
      </c>
      <c r="J1667" t="s">
        <v>18</v>
      </c>
      <c r="K1667" t="s">
        <v>19</v>
      </c>
    </row>
    <row r="1668" spans="1:11">
      <c r="A1668" s="1">
        <v>46280</v>
      </c>
      <c r="B1668" t="s">
        <v>63</v>
      </c>
      <c r="C1668" t="s">
        <v>64</v>
      </c>
      <c r="D1668" t="s">
        <v>72</v>
      </c>
      <c r="E1668" t="s">
        <v>187</v>
      </c>
      <c r="F1668" t="s">
        <v>185</v>
      </c>
      <c r="G1668" s="2">
        <v>180</v>
      </c>
      <c r="H1668" t="s">
        <v>27</v>
      </c>
      <c r="I1668" t="s">
        <v>181</v>
      </c>
      <c r="J1668" t="s">
        <v>18</v>
      </c>
      <c r="K1668" t="s">
        <v>19</v>
      </c>
    </row>
    <row r="1669" spans="1:11">
      <c r="A1669" s="1">
        <v>46280</v>
      </c>
      <c r="B1669" t="s">
        <v>63</v>
      </c>
      <c r="C1669" t="s">
        <v>64</v>
      </c>
      <c r="D1669" t="s">
        <v>72</v>
      </c>
      <c r="E1669" t="s">
        <v>25</v>
      </c>
      <c r="F1669" t="s">
        <v>26</v>
      </c>
      <c r="G1669" s="2">
        <v>120</v>
      </c>
      <c r="H1669" t="s">
        <v>27</v>
      </c>
      <c r="I1669" t="s">
        <v>181</v>
      </c>
      <c r="J1669" t="s">
        <v>18</v>
      </c>
      <c r="K1669" t="s">
        <v>19</v>
      </c>
    </row>
    <row r="1670" spans="1:11">
      <c r="A1670" s="1">
        <v>46280</v>
      </c>
      <c r="B1670" t="s">
        <v>63</v>
      </c>
      <c r="C1670" t="s">
        <v>64</v>
      </c>
      <c r="D1670" t="s">
        <v>72</v>
      </c>
      <c r="E1670" t="s">
        <v>184</v>
      </c>
      <c r="F1670" t="s">
        <v>185</v>
      </c>
      <c r="G1670" s="2">
        <v>280</v>
      </c>
      <c r="H1670" t="s">
        <v>27</v>
      </c>
      <c r="I1670" t="s">
        <v>181</v>
      </c>
      <c r="J1670" t="s">
        <v>18</v>
      </c>
      <c r="K1670" t="s">
        <v>19</v>
      </c>
    </row>
    <row r="1671" spans="1:11">
      <c r="A1671" s="1">
        <v>46280</v>
      </c>
      <c r="B1671" t="s">
        <v>63</v>
      </c>
      <c r="C1671" t="s">
        <v>64</v>
      </c>
      <c r="D1671" t="s">
        <v>72</v>
      </c>
      <c r="E1671" t="s">
        <v>186</v>
      </c>
      <c r="F1671" t="s">
        <v>26</v>
      </c>
      <c r="G1671" s="2">
        <v>120</v>
      </c>
      <c r="H1671" t="s">
        <v>27</v>
      </c>
      <c r="I1671" t="s">
        <v>181</v>
      </c>
      <c r="J1671" t="s">
        <v>18</v>
      </c>
      <c r="K1671" t="s">
        <v>19</v>
      </c>
    </row>
    <row r="1672" spans="1:11">
      <c r="A1672" s="1">
        <v>46280</v>
      </c>
      <c r="B1672" t="s">
        <v>90</v>
      </c>
      <c r="C1672" t="s">
        <v>104</v>
      </c>
      <c r="D1672" t="s">
        <v>108</v>
      </c>
      <c r="E1672" t="s">
        <v>180</v>
      </c>
      <c r="F1672" t="s">
        <v>26</v>
      </c>
      <c r="G1672" s="2">
        <v>80</v>
      </c>
      <c r="H1672" t="s">
        <v>27</v>
      </c>
      <c r="I1672" t="s">
        <v>181</v>
      </c>
      <c r="J1672" t="s">
        <v>18</v>
      </c>
      <c r="K1672" t="s">
        <v>19</v>
      </c>
    </row>
    <row r="1673" spans="1:11">
      <c r="A1673" s="1">
        <v>46280</v>
      </c>
      <c r="B1673" t="s">
        <v>90</v>
      </c>
      <c r="C1673" t="s">
        <v>104</v>
      </c>
      <c r="D1673" t="s">
        <v>108</v>
      </c>
      <c r="E1673" t="s">
        <v>182</v>
      </c>
      <c r="F1673" t="s">
        <v>26</v>
      </c>
      <c r="G1673" s="2">
        <v>90</v>
      </c>
      <c r="H1673" t="s">
        <v>27</v>
      </c>
      <c r="I1673" t="s">
        <v>181</v>
      </c>
      <c r="J1673" t="s">
        <v>18</v>
      </c>
      <c r="K1673" t="s">
        <v>19</v>
      </c>
    </row>
    <row r="1674" spans="1:11">
      <c r="A1674" s="1">
        <v>46280</v>
      </c>
      <c r="B1674" t="s">
        <v>90</v>
      </c>
      <c r="C1674" t="s">
        <v>104</v>
      </c>
      <c r="D1674" t="s">
        <v>108</v>
      </c>
      <c r="E1674" t="s">
        <v>183</v>
      </c>
      <c r="F1674" t="s">
        <v>26</v>
      </c>
      <c r="G1674" s="2">
        <v>125</v>
      </c>
      <c r="H1674" t="s">
        <v>27</v>
      </c>
      <c r="I1674" t="s">
        <v>181</v>
      </c>
      <c r="J1674" t="s">
        <v>18</v>
      </c>
      <c r="K1674" t="s">
        <v>19</v>
      </c>
    </row>
    <row r="1675" spans="1:11">
      <c r="A1675" s="1">
        <v>46280</v>
      </c>
      <c r="B1675" t="s">
        <v>90</v>
      </c>
      <c r="C1675" t="s">
        <v>104</v>
      </c>
      <c r="D1675" t="s">
        <v>108</v>
      </c>
      <c r="E1675" t="s">
        <v>25</v>
      </c>
      <c r="F1675" t="s">
        <v>26</v>
      </c>
      <c r="G1675" s="2">
        <v>155</v>
      </c>
      <c r="H1675" t="s">
        <v>27</v>
      </c>
      <c r="I1675" t="s">
        <v>181</v>
      </c>
      <c r="J1675" t="s">
        <v>18</v>
      </c>
      <c r="K1675" t="s">
        <v>19</v>
      </c>
    </row>
    <row r="1676" spans="1:11">
      <c r="A1676" s="1">
        <v>46280</v>
      </c>
      <c r="B1676" t="s">
        <v>90</v>
      </c>
      <c r="C1676" t="s">
        <v>104</v>
      </c>
      <c r="D1676" t="s">
        <v>108</v>
      </c>
      <c r="E1676" t="s">
        <v>184</v>
      </c>
      <c r="F1676" t="s">
        <v>185</v>
      </c>
      <c r="G1676" s="2">
        <v>290</v>
      </c>
      <c r="H1676" t="s">
        <v>27</v>
      </c>
      <c r="I1676" t="s">
        <v>181</v>
      </c>
      <c r="J1676" t="s">
        <v>18</v>
      </c>
      <c r="K1676" t="s">
        <v>19</v>
      </c>
    </row>
    <row r="1677" spans="1:11">
      <c r="A1677" s="1">
        <v>46280</v>
      </c>
      <c r="B1677" t="s">
        <v>90</v>
      </c>
      <c r="C1677" t="s">
        <v>104</v>
      </c>
      <c r="D1677" t="s">
        <v>108</v>
      </c>
      <c r="E1677" t="s">
        <v>186</v>
      </c>
      <c r="F1677" t="s">
        <v>26</v>
      </c>
      <c r="G1677" s="2">
        <v>125</v>
      </c>
      <c r="H1677" t="s">
        <v>27</v>
      </c>
      <c r="I1677" t="s">
        <v>181</v>
      </c>
      <c r="J1677" t="s">
        <v>18</v>
      </c>
      <c r="K1677" t="s">
        <v>19</v>
      </c>
    </row>
    <row r="1678" spans="1:11">
      <c r="A1678" s="1">
        <v>46280</v>
      </c>
      <c r="B1678" t="s">
        <v>90</v>
      </c>
      <c r="C1678" t="s">
        <v>104</v>
      </c>
      <c r="D1678" t="s">
        <v>109</v>
      </c>
      <c r="E1678" t="s">
        <v>180</v>
      </c>
      <c r="F1678" t="s">
        <v>26</v>
      </c>
      <c r="G1678" s="2">
        <v>90</v>
      </c>
      <c r="H1678" t="s">
        <v>27</v>
      </c>
      <c r="I1678" t="s">
        <v>181</v>
      </c>
      <c r="J1678" t="s">
        <v>18</v>
      </c>
      <c r="K1678" t="s">
        <v>19</v>
      </c>
    </row>
    <row r="1679" spans="1:11">
      <c r="A1679" s="1">
        <v>46280</v>
      </c>
      <c r="B1679" t="s">
        <v>90</v>
      </c>
      <c r="C1679" t="s">
        <v>104</v>
      </c>
      <c r="D1679" t="s">
        <v>109</v>
      </c>
      <c r="E1679" t="s">
        <v>182</v>
      </c>
      <c r="F1679" t="s">
        <v>26</v>
      </c>
      <c r="G1679" s="2">
        <v>100</v>
      </c>
      <c r="H1679" t="s">
        <v>27</v>
      </c>
      <c r="I1679" t="s">
        <v>181</v>
      </c>
      <c r="J1679" t="s">
        <v>18</v>
      </c>
      <c r="K1679" t="s">
        <v>19</v>
      </c>
    </row>
    <row r="1680" spans="1:11">
      <c r="A1680" s="1">
        <v>46280</v>
      </c>
      <c r="B1680" t="s">
        <v>90</v>
      </c>
      <c r="C1680" t="s">
        <v>104</v>
      </c>
      <c r="D1680" t="s">
        <v>109</v>
      </c>
      <c r="E1680" t="s">
        <v>183</v>
      </c>
      <c r="F1680" t="s">
        <v>26</v>
      </c>
      <c r="G1680" s="2">
        <v>125</v>
      </c>
      <c r="H1680" t="s">
        <v>27</v>
      </c>
      <c r="I1680" t="s">
        <v>181</v>
      </c>
      <c r="J1680" t="s">
        <v>18</v>
      </c>
      <c r="K1680" t="s">
        <v>19</v>
      </c>
    </row>
    <row r="1681" spans="1:11">
      <c r="A1681" s="1">
        <v>46280</v>
      </c>
      <c r="B1681" t="s">
        <v>90</v>
      </c>
      <c r="C1681" t="s">
        <v>104</v>
      </c>
      <c r="D1681" t="s">
        <v>109</v>
      </c>
      <c r="E1681" t="s">
        <v>187</v>
      </c>
      <c r="F1681" t="s">
        <v>185</v>
      </c>
      <c r="G1681" s="2">
        <v>100</v>
      </c>
      <c r="H1681" t="s">
        <v>27</v>
      </c>
      <c r="I1681" t="s">
        <v>181</v>
      </c>
      <c r="J1681" t="s">
        <v>18</v>
      </c>
      <c r="K1681" t="s">
        <v>19</v>
      </c>
    </row>
    <row r="1682" spans="1:11">
      <c r="A1682" s="1">
        <v>46280</v>
      </c>
      <c r="B1682" t="s">
        <v>90</v>
      </c>
      <c r="C1682" t="s">
        <v>104</v>
      </c>
      <c r="D1682" t="s">
        <v>109</v>
      </c>
      <c r="E1682" t="s">
        <v>25</v>
      </c>
      <c r="F1682" t="s">
        <v>26</v>
      </c>
      <c r="G1682" s="2">
        <v>160</v>
      </c>
      <c r="H1682" t="s">
        <v>27</v>
      </c>
      <c r="I1682" t="s">
        <v>181</v>
      </c>
      <c r="J1682" t="s">
        <v>18</v>
      </c>
      <c r="K1682" t="s">
        <v>19</v>
      </c>
    </row>
    <row r="1683" spans="1:11">
      <c r="A1683" s="1">
        <v>46280</v>
      </c>
      <c r="B1683" t="s">
        <v>90</v>
      </c>
      <c r="C1683" t="s">
        <v>104</v>
      </c>
      <c r="D1683" t="s">
        <v>109</v>
      </c>
      <c r="E1683" t="s">
        <v>184</v>
      </c>
      <c r="F1683" t="s">
        <v>185</v>
      </c>
      <c r="G1683" s="2">
        <v>293.33</v>
      </c>
      <c r="H1683" t="s">
        <v>27</v>
      </c>
      <c r="I1683" t="s">
        <v>181</v>
      </c>
      <c r="J1683" t="s">
        <v>18</v>
      </c>
      <c r="K1683" t="s">
        <v>19</v>
      </c>
    </row>
    <row r="1684" spans="1:11">
      <c r="A1684" s="1">
        <v>46280</v>
      </c>
      <c r="B1684" t="s">
        <v>90</v>
      </c>
      <c r="C1684" t="s">
        <v>104</v>
      </c>
      <c r="D1684" t="s">
        <v>109</v>
      </c>
      <c r="E1684" t="s">
        <v>186</v>
      </c>
      <c r="F1684" t="s">
        <v>26</v>
      </c>
      <c r="G1684" s="2">
        <v>150</v>
      </c>
      <c r="H1684" t="s">
        <v>27</v>
      </c>
      <c r="I1684" t="s">
        <v>181</v>
      </c>
      <c r="J1684" t="s">
        <v>18</v>
      </c>
      <c r="K1684" t="s">
        <v>19</v>
      </c>
    </row>
    <row r="1685" spans="1:11">
      <c r="A1685" s="1">
        <v>46280</v>
      </c>
      <c r="B1685" t="s">
        <v>90</v>
      </c>
      <c r="C1685" t="s">
        <v>104</v>
      </c>
      <c r="D1685" t="s">
        <v>157</v>
      </c>
      <c r="E1685" t="s">
        <v>180</v>
      </c>
      <c r="F1685" t="s">
        <v>26</v>
      </c>
      <c r="G1685" s="2">
        <v>80</v>
      </c>
      <c r="H1685" t="s">
        <v>27</v>
      </c>
      <c r="I1685" t="s">
        <v>181</v>
      </c>
      <c r="J1685" t="s">
        <v>18</v>
      </c>
      <c r="K1685" t="s">
        <v>19</v>
      </c>
    </row>
    <row r="1686" spans="1:11">
      <c r="A1686" s="1">
        <v>46280</v>
      </c>
      <c r="B1686" t="s">
        <v>90</v>
      </c>
      <c r="C1686" t="s">
        <v>104</v>
      </c>
      <c r="D1686" t="s">
        <v>157</v>
      </c>
      <c r="E1686" t="s">
        <v>182</v>
      </c>
      <c r="F1686" t="s">
        <v>26</v>
      </c>
      <c r="G1686" s="2">
        <v>100</v>
      </c>
      <c r="H1686" t="s">
        <v>27</v>
      </c>
      <c r="I1686" t="s">
        <v>181</v>
      </c>
      <c r="J1686" t="s">
        <v>18</v>
      </c>
      <c r="K1686" t="s">
        <v>19</v>
      </c>
    </row>
    <row r="1687" spans="1:11">
      <c r="A1687" s="1">
        <v>46280</v>
      </c>
      <c r="B1687" t="s">
        <v>90</v>
      </c>
      <c r="C1687" t="s">
        <v>104</v>
      </c>
      <c r="D1687" t="s">
        <v>157</v>
      </c>
      <c r="E1687" t="s">
        <v>183</v>
      </c>
      <c r="F1687" t="s">
        <v>26</v>
      </c>
      <c r="G1687" s="2">
        <v>126.67</v>
      </c>
      <c r="H1687" t="s">
        <v>27</v>
      </c>
      <c r="I1687" t="s">
        <v>181</v>
      </c>
      <c r="J1687" t="s">
        <v>18</v>
      </c>
      <c r="K1687" t="s">
        <v>19</v>
      </c>
    </row>
    <row r="1688" spans="1:11">
      <c r="A1688" s="1">
        <v>46280</v>
      </c>
      <c r="B1688" t="s">
        <v>90</v>
      </c>
      <c r="C1688" t="s">
        <v>104</v>
      </c>
      <c r="D1688" t="s">
        <v>157</v>
      </c>
      <c r="E1688" t="s">
        <v>25</v>
      </c>
      <c r="F1688" t="s">
        <v>26</v>
      </c>
      <c r="G1688" s="2">
        <v>153.33</v>
      </c>
      <c r="H1688" t="s">
        <v>27</v>
      </c>
      <c r="I1688" t="s">
        <v>181</v>
      </c>
      <c r="J1688" t="s">
        <v>18</v>
      </c>
      <c r="K1688" t="s">
        <v>19</v>
      </c>
    </row>
    <row r="1689" spans="1:11">
      <c r="A1689" s="1">
        <v>46280</v>
      </c>
      <c r="B1689" t="s">
        <v>90</v>
      </c>
      <c r="C1689" t="s">
        <v>104</v>
      </c>
      <c r="D1689" t="s">
        <v>157</v>
      </c>
      <c r="E1689" t="s">
        <v>184</v>
      </c>
      <c r="F1689" t="s">
        <v>185</v>
      </c>
      <c r="G1689" s="2">
        <v>286.67</v>
      </c>
      <c r="H1689" t="s">
        <v>27</v>
      </c>
      <c r="I1689" t="s">
        <v>181</v>
      </c>
      <c r="J1689" t="s">
        <v>18</v>
      </c>
      <c r="K1689" t="s">
        <v>19</v>
      </c>
    </row>
    <row r="1690" spans="1:11">
      <c r="A1690" s="1">
        <v>46280</v>
      </c>
      <c r="B1690" t="s">
        <v>90</v>
      </c>
      <c r="C1690" t="s">
        <v>104</v>
      </c>
      <c r="D1690" t="s">
        <v>157</v>
      </c>
      <c r="E1690" t="s">
        <v>186</v>
      </c>
      <c r="F1690" t="s">
        <v>26</v>
      </c>
      <c r="G1690" s="2">
        <v>133.33</v>
      </c>
      <c r="H1690" t="s">
        <v>27</v>
      </c>
      <c r="I1690" t="s">
        <v>181</v>
      </c>
      <c r="J1690" t="s">
        <v>18</v>
      </c>
      <c r="K1690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3" t="s">
        <v>188</v>
      </c>
      <c r="B1" s="3" t="s">
        <v>3</v>
      </c>
      <c r="C1" s="3" t="s">
        <v>4</v>
      </c>
      <c r="D1" s="3" t="s">
        <v>5</v>
      </c>
      <c r="E1" s="3" t="s">
        <v>189</v>
      </c>
      <c r="F1" s="3" t="s">
        <v>9</v>
      </c>
      <c r="G1" s="3" t="s">
        <v>190</v>
      </c>
    </row>
    <row r="2" spans="1:7">
      <c r="A2" t="s">
        <v>191</v>
      </c>
      <c r="B2" t="s">
        <v>72</v>
      </c>
      <c r="C2" t="s">
        <v>180</v>
      </c>
      <c r="D2" t="s">
        <v>26</v>
      </c>
      <c r="E2">
        <v>100</v>
      </c>
      <c r="F2" t="s">
        <v>18</v>
      </c>
      <c r="G2" s="1">
        <v>46280</v>
      </c>
    </row>
    <row r="3" spans="1:7">
      <c r="A3" t="s">
        <v>192</v>
      </c>
      <c r="B3" t="s">
        <v>72</v>
      </c>
      <c r="C3" t="s">
        <v>186</v>
      </c>
      <c r="D3" t="s">
        <v>26</v>
      </c>
      <c r="E3">
        <v>120</v>
      </c>
      <c r="F3" t="s">
        <v>18</v>
      </c>
      <c r="G3" s="1">
        <v>46280</v>
      </c>
    </row>
    <row r="4" spans="1:7">
      <c r="A4" t="s">
        <v>193</v>
      </c>
      <c r="B4" t="s">
        <v>72</v>
      </c>
      <c r="C4" t="s">
        <v>14</v>
      </c>
      <c r="D4" t="s">
        <v>26</v>
      </c>
      <c r="E4">
        <v>60</v>
      </c>
      <c r="F4" t="s">
        <v>18</v>
      </c>
      <c r="G4" s="1">
        <v>46096</v>
      </c>
    </row>
    <row r="5" spans="1:7">
      <c r="A5" t="s">
        <v>194</v>
      </c>
      <c r="B5" t="s">
        <v>72</v>
      </c>
      <c r="C5" t="s">
        <v>187</v>
      </c>
      <c r="D5" t="s">
        <v>185</v>
      </c>
      <c r="E5">
        <v>180</v>
      </c>
      <c r="F5" t="s">
        <v>18</v>
      </c>
      <c r="G5" s="1">
        <v>46280</v>
      </c>
    </row>
    <row r="6" spans="1:7">
      <c r="A6" t="s">
        <v>195</v>
      </c>
      <c r="B6" t="s">
        <v>72</v>
      </c>
      <c r="C6" t="s">
        <v>184</v>
      </c>
      <c r="D6" t="s">
        <v>185</v>
      </c>
      <c r="E6">
        <v>280</v>
      </c>
      <c r="F6" t="s">
        <v>18</v>
      </c>
      <c r="G6" s="1">
        <v>46280</v>
      </c>
    </row>
    <row r="7" spans="1:7">
      <c r="A7" t="s">
        <v>196</v>
      </c>
      <c r="B7" t="s">
        <v>72</v>
      </c>
      <c r="C7" t="s">
        <v>182</v>
      </c>
      <c r="D7" t="s">
        <v>26</v>
      </c>
      <c r="E7">
        <v>64.39</v>
      </c>
      <c r="F7" t="s">
        <v>18</v>
      </c>
      <c r="G7" s="1">
        <v>46249</v>
      </c>
    </row>
    <row r="8" spans="1:7">
      <c r="A8" t="s">
        <v>197</v>
      </c>
      <c r="B8" t="s">
        <v>72</v>
      </c>
      <c r="C8" t="s">
        <v>183</v>
      </c>
      <c r="D8" t="s">
        <v>26</v>
      </c>
      <c r="E8">
        <v>106.67</v>
      </c>
      <c r="F8" t="s">
        <v>18</v>
      </c>
      <c r="G8" s="1">
        <v>46280</v>
      </c>
    </row>
    <row r="9" spans="1:7">
      <c r="A9" t="s">
        <v>198</v>
      </c>
      <c r="B9" t="s">
        <v>72</v>
      </c>
      <c r="C9" t="s">
        <v>25</v>
      </c>
      <c r="D9" t="s">
        <v>26</v>
      </c>
      <c r="E9">
        <v>120</v>
      </c>
      <c r="F9" t="s">
        <v>18</v>
      </c>
      <c r="G9" s="1">
        <v>46280</v>
      </c>
    </row>
    <row r="10" spans="1:7">
      <c r="A10" t="s">
        <v>199</v>
      </c>
      <c r="B10" t="s">
        <v>112</v>
      </c>
      <c r="C10" t="s">
        <v>180</v>
      </c>
      <c r="D10" t="s">
        <v>26</v>
      </c>
      <c r="E10">
        <v>79.63</v>
      </c>
      <c r="F10" t="s">
        <v>18</v>
      </c>
      <c r="G10" s="1">
        <v>46249</v>
      </c>
    </row>
    <row r="11" spans="1:7">
      <c r="A11" t="s">
        <v>200</v>
      </c>
      <c r="B11" t="s">
        <v>112</v>
      </c>
      <c r="C11" t="s">
        <v>186</v>
      </c>
      <c r="D11" t="s">
        <v>26</v>
      </c>
      <c r="E11">
        <v>120</v>
      </c>
      <c r="F11" t="s">
        <v>18</v>
      </c>
      <c r="G11" s="1">
        <v>46249</v>
      </c>
    </row>
    <row r="12" spans="1:7">
      <c r="A12" t="s">
        <v>201</v>
      </c>
      <c r="B12" t="s">
        <v>112</v>
      </c>
      <c r="C12" t="s">
        <v>14</v>
      </c>
      <c r="D12" t="s">
        <v>26</v>
      </c>
      <c r="E12">
        <v>100</v>
      </c>
      <c r="F12" t="s">
        <v>18</v>
      </c>
      <c r="G12" s="1">
        <v>46096</v>
      </c>
    </row>
    <row r="13" spans="1:7">
      <c r="A13" t="s">
        <v>202</v>
      </c>
      <c r="B13" t="s">
        <v>112</v>
      </c>
      <c r="C13" t="s">
        <v>184</v>
      </c>
      <c r="D13" t="s">
        <v>185</v>
      </c>
      <c r="E13">
        <v>287.04</v>
      </c>
      <c r="F13" t="s">
        <v>18</v>
      </c>
      <c r="G13" s="1">
        <v>46249</v>
      </c>
    </row>
    <row r="14" spans="1:7">
      <c r="A14" t="s">
        <v>203</v>
      </c>
      <c r="B14" t="s">
        <v>112</v>
      </c>
      <c r="C14" t="s">
        <v>182</v>
      </c>
      <c r="D14" t="s">
        <v>26</v>
      </c>
      <c r="E14">
        <v>97.78</v>
      </c>
      <c r="F14" t="s">
        <v>18</v>
      </c>
      <c r="G14" s="1">
        <v>46249</v>
      </c>
    </row>
    <row r="15" spans="1:7">
      <c r="A15" t="s">
        <v>204</v>
      </c>
      <c r="B15" t="s">
        <v>112</v>
      </c>
      <c r="C15" t="s">
        <v>183</v>
      </c>
      <c r="D15" t="s">
        <v>26</v>
      </c>
      <c r="E15">
        <v>118.52</v>
      </c>
      <c r="F15" t="s">
        <v>18</v>
      </c>
      <c r="G15" s="1">
        <v>46249</v>
      </c>
    </row>
    <row r="16" spans="1:7">
      <c r="A16" t="s">
        <v>205</v>
      </c>
      <c r="B16" t="s">
        <v>112</v>
      </c>
      <c r="C16" t="s">
        <v>25</v>
      </c>
      <c r="D16" t="s">
        <v>26</v>
      </c>
      <c r="E16">
        <v>152.22</v>
      </c>
      <c r="F16" t="s">
        <v>18</v>
      </c>
      <c r="G16" s="1">
        <v>46249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7B84B"/>
  </sheetPr>
  <dimension ref="A1:F2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7.7109375" customWidth="1"/>
    <col min="4" max="5" width="19.7109375" customWidth="1"/>
    <col min="6" max="6" width="18.7109375" customWidth="1"/>
  </cols>
  <sheetData>
    <row r="1" spans="1:6">
      <c r="A1" s="4" t="s">
        <v>206</v>
      </c>
      <c r="B1" s="4"/>
      <c r="C1" s="4"/>
      <c r="D1" s="4"/>
      <c r="E1" s="4"/>
      <c r="F1" s="4"/>
    </row>
    <row r="2" spans="1:6" ht="30" customHeight="1">
      <c r="A2" s="5" t="s">
        <v>207</v>
      </c>
      <c r="B2" s="5"/>
      <c r="C2" s="5"/>
      <c r="D2" s="5"/>
      <c r="E2" s="5"/>
      <c r="F2" s="5"/>
    </row>
    <row r="4" spans="1:6">
      <c r="A4" s="6" t="s">
        <v>208</v>
      </c>
      <c r="B4" s="7" t="s">
        <v>72</v>
      </c>
      <c r="D4" s="8" t="s">
        <v>209</v>
      </c>
      <c r="E4" s="8"/>
      <c r="F4" s="8"/>
    </row>
    <row r="7" spans="1:6">
      <c r="A7" s="3" t="s">
        <v>210</v>
      </c>
      <c r="B7" s="3" t="s">
        <v>211</v>
      </c>
      <c r="C7" s="3" t="s">
        <v>212</v>
      </c>
      <c r="D7" s="3" t="s">
        <v>213</v>
      </c>
      <c r="E7" s="3" t="s">
        <v>214</v>
      </c>
      <c r="F7" s="3" t="s">
        <v>215</v>
      </c>
    </row>
    <row r="8" spans="1:6">
      <c r="A8" t="s">
        <v>180</v>
      </c>
      <c r="B8" s="7">
        <v>1.5</v>
      </c>
      <c r="C8" t="str">
        <f>IFERROR(VLOOKUP($B$4&amp;"|"&amp;A8,'Market Price Snapshot'!$A$2:$G$16,4,FALSE),"")</f>
        <v>KG</v>
      </c>
      <c r="D8" s="2">
        <f>IFERROR(VLOOKUP($B$4&amp;"|"&amp;A8,'Market Price Snapshot'!$A$2:$G$16,5,FALSE),"")</f>
        <v>100.0</v>
      </c>
      <c r="E8" s="2">
        <f>IF(OR(C8="",D8=""),"",B8*D8)</f>
        <v>150.0</v>
      </c>
      <c r="F8" s="1">
        <f>IFERROR(VLOOKUP($B$4&amp;"|"&amp;A8,'Market Price Snapshot'!$A$2:$G$16,7,FALSE),"")</f>
        <v>2026-09-15 00:00:00</v>
      </c>
    </row>
    <row r="9" spans="1:6">
      <c r="A9" t="s">
        <v>186</v>
      </c>
      <c r="B9" s="7">
        <v>0.35</v>
      </c>
      <c r="C9" t="str">
        <f>IFERROR(VLOOKUP($B$4&amp;"|"&amp;A9,'Market Price Snapshot'!$A$2:$G$16,4,FALSE),"")</f>
        <v>KG</v>
      </c>
      <c r="D9" s="2">
        <f>IFERROR(VLOOKUP($B$4&amp;"|"&amp;A9,'Market Price Snapshot'!$A$2:$G$16,5,FALSE),"")</f>
        <v>120.0</v>
      </c>
      <c r="E9" s="2">
        <f>IF(OR(C9="",D9=""),"",B9*D9)</f>
        <v>42.0</v>
      </c>
      <c r="F9" s="1">
        <f>IFERROR(VLOOKUP($B$4&amp;"|"&amp;A9,'Market Price Snapshot'!$A$2:$G$16,7,FALSE),"")</f>
        <v>2026-09-15 00:00:00</v>
      </c>
    </row>
    <row r="10" spans="1:6">
      <c r="A10" t="s">
        <v>14</v>
      </c>
      <c r="B10" s="7">
        <v>0.75</v>
      </c>
      <c r="C10" t="str">
        <f>IFERROR(VLOOKUP($B$4&amp;"|"&amp;A10,'Market Price Snapshot'!$A$2:$G$16,4,FALSE),"")</f>
        <v>KG</v>
      </c>
      <c r="D10" s="2">
        <f>IFERROR(VLOOKUP($B$4&amp;"|"&amp;A10,'Market Price Snapshot'!$A$2:$G$16,5,FALSE),"")</f>
        <v>60.0</v>
      </c>
      <c r="E10" s="2">
        <f>IF(OR(C10="",D10=""),"",B10*D10)</f>
        <v>45.0</v>
      </c>
      <c r="F10" s="1">
        <f>IFERROR(VLOOKUP($B$4&amp;"|"&amp;A10,'Market Price Snapshot'!$A$2:$G$16,7,FALSE),"")</f>
        <v>2026-03-15 00:00:00</v>
      </c>
    </row>
    <row r="11" spans="1:6">
      <c r="A11" t="s">
        <v>187</v>
      </c>
      <c r="B11" s="7">
        <v>1.75</v>
      </c>
      <c r="C11" t="str">
        <f>IFERROR(VLOOKUP($B$4&amp;"|"&amp;A11,'Market Price Snapshot'!$A$2:$G$16,4,FALSE),"")</f>
        <v>L</v>
      </c>
      <c r="D11" s="2">
        <f>IFERROR(VLOOKUP($B$4&amp;"|"&amp;A11,'Market Price Snapshot'!$A$2:$G$16,5,FALSE),"")</f>
        <v>180.0</v>
      </c>
      <c r="E11" s="2">
        <f>IF(OR(C11="",D11=""),"",B11*D11)</f>
        <v>315.0</v>
      </c>
      <c r="F11" s="1">
        <f>IFERROR(VLOOKUP($B$4&amp;"|"&amp;A11,'Market Price Snapshot'!$A$2:$G$16,7,FALSE),"")</f>
        <v>2026-09-15 00:00:00</v>
      </c>
    </row>
    <row r="12" spans="1:6">
      <c r="A12" t="s">
        <v>184</v>
      </c>
      <c r="B12" s="7">
        <v>0.25</v>
      </c>
      <c r="C12" t="str">
        <f>IFERROR(VLOOKUP($B$4&amp;"|"&amp;A12,'Market Price Snapshot'!$A$2:$G$16,4,FALSE),"")</f>
        <v>L</v>
      </c>
      <c r="D12" s="2">
        <f>IFERROR(VLOOKUP($B$4&amp;"|"&amp;A12,'Market Price Snapshot'!$A$2:$G$16,5,FALSE),"")</f>
        <v>280.0</v>
      </c>
      <c r="E12" s="2">
        <f>IF(OR(C12="",D12=""),"",B12*D12)</f>
        <v>70.0</v>
      </c>
      <c r="F12" s="1">
        <f>IFERROR(VLOOKUP($B$4&amp;"|"&amp;A12,'Market Price Snapshot'!$A$2:$G$16,7,FALSE),"")</f>
        <v>2026-09-15 00:00:00</v>
      </c>
    </row>
    <row r="13" spans="1:6">
      <c r="A13" t="s">
        <v>182</v>
      </c>
      <c r="B13" s="7">
        <v>0.75</v>
      </c>
      <c r="C13" t="str">
        <f>IFERROR(VLOOKUP($B$4&amp;"|"&amp;A13,'Market Price Snapshot'!$A$2:$G$16,4,FALSE),"")</f>
        <v>KG</v>
      </c>
      <c r="D13" s="2">
        <f>IFERROR(VLOOKUP($B$4&amp;"|"&amp;A13,'Market Price Snapshot'!$A$2:$G$16,5,FALSE),"")</f>
        <v>64.39</v>
      </c>
      <c r="E13" s="2">
        <f>IF(OR(C13="",D13=""),"",B13*D13)</f>
        <v>48.292500000000004</v>
      </c>
      <c r="F13" s="1">
        <f>IFERROR(VLOOKUP($B$4&amp;"|"&amp;A13,'Market Price Snapshot'!$A$2:$G$16,7,FALSE),"")</f>
        <v>2026-08-15 00:00:00</v>
      </c>
    </row>
    <row r="14" spans="1:6">
      <c r="A14" t="s">
        <v>183</v>
      </c>
      <c r="B14" s="7">
        <v>0.35</v>
      </c>
      <c r="C14" t="str">
        <f>IFERROR(VLOOKUP($B$4&amp;"|"&amp;A14,'Market Price Snapshot'!$A$2:$G$16,4,FALSE),"")</f>
        <v>KG</v>
      </c>
      <c r="D14" s="2">
        <f>IFERROR(VLOOKUP($B$4&amp;"|"&amp;A14,'Market Price Snapshot'!$A$2:$G$16,5,FALSE),"")</f>
        <v>106.67</v>
      </c>
      <c r="E14" s="2">
        <f>IF(OR(C14="",D14=""),"",B14*D14)</f>
        <v>37.3345</v>
      </c>
      <c r="F14" s="1">
        <f>IFERROR(VLOOKUP($B$4&amp;"|"&amp;A14,'Market Price Snapshot'!$A$2:$G$16,7,FALSE),"")</f>
        <v>2026-09-15 00:00:00</v>
      </c>
    </row>
    <row r="17" spans="1:6">
      <c r="A17" s="6" t="s">
        <v>216</v>
      </c>
      <c r="E17" s="2">
        <f>SUM(E8:E14)</f>
        <v>707.627</v>
      </c>
    </row>
    <row r="18" spans="1:6">
      <c r="A18" s="6" t="s">
        <v>217</v>
      </c>
      <c r="E18" t="str">
        <f>COUNT(D8:D14)&amp;" / 7 items"</f>
        <v>7 / 7 items</v>
      </c>
    </row>
    <row r="20" spans="1:6">
      <c r="A20" s="9" t="s">
        <v>218</v>
      </c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</sheetData>
  <mergeCells count="4">
    <mergeCell ref="A1:F1"/>
    <mergeCell ref="A2:F2"/>
    <mergeCell ref="D4:F4"/>
    <mergeCell ref="A20:F21"/>
  </mergeCells>
  <dataValidations count="1">
    <dataValidation type="list" allowBlank="1" showInputMessage="1" showErrorMessage="1" sqref="B4">
      <formula1>"IFO (Daadab),Kakuma 2"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7B84B"/>
  </sheetPr>
  <dimension ref="A1:D20"/>
  <sheetViews>
    <sheetView workbookViewId="0"/>
  </sheetViews>
  <sheetFormatPr defaultRowHeight="15"/>
  <cols>
    <col min="1" max="1" width="40.7109375" customWidth="1"/>
    <col min="2" max="2" width="35.7109375" customWidth="1"/>
    <col min="3" max="4" width="17.7109375" customWidth="1"/>
  </cols>
  <sheetData>
    <row r="1" spans="1:4">
      <c r="A1" s="4" t="s">
        <v>219</v>
      </c>
      <c r="B1" s="4"/>
      <c r="C1" s="4"/>
      <c r="D1" s="4"/>
    </row>
    <row r="2" spans="1:4">
      <c r="A2" s="5" t="s">
        <v>220</v>
      </c>
      <c r="B2" s="5"/>
      <c r="C2" s="5"/>
      <c r="D2" s="5"/>
    </row>
    <row r="4" spans="1:4">
      <c r="A4" s="3" t="s">
        <v>221</v>
      </c>
      <c r="B4" s="10">
        <v>4</v>
      </c>
    </row>
    <row r="5" spans="1:4">
      <c r="A5" s="3" t="s">
        <v>222</v>
      </c>
      <c r="B5" s="11">
        <v>25000</v>
      </c>
    </row>
    <row r="7" spans="1:4">
      <c r="A7" s="3" t="s">
        <v>208</v>
      </c>
      <c r="B7" t="str">
        <f>'Healthy Basket'!B4</f>
        <v>IFO (Daadab)</v>
      </c>
    </row>
    <row r="8" spans="1:4">
      <c r="A8" s="3" t="s">
        <v>223</v>
      </c>
      <c r="B8">
        <f>COUNT('Healthy Basket'!D8:D14)</f>
        <v>7</v>
      </c>
    </row>
    <row r="9" spans="1:4">
      <c r="A9" s="3" t="s">
        <v>224</v>
      </c>
      <c r="B9" s="2">
        <f>'Healthy Basket'!E17</f>
        <v>707.627</v>
      </c>
    </row>
    <row r="10" spans="1:4">
      <c r="A10" s="3" t="s">
        <v>225</v>
      </c>
      <c r="B10" s="2">
        <f>B9*4.345</f>
        <v>3074.6393149999994</v>
      </c>
    </row>
    <row r="11" spans="1:4">
      <c r="A11" s="3" t="s">
        <v>226</v>
      </c>
      <c r="B11" s="2">
        <f>B10*B4</f>
        <v>12298.557259999998</v>
      </c>
    </row>
    <row r="12" spans="1:4">
      <c r="A12" s="3" t="s">
        <v>227</v>
      </c>
      <c r="B12" s="12">
        <f>IF(B5&gt;0,B11/B5,"")</f>
        <v>0.4919422903999999</v>
      </c>
    </row>
    <row r="13" spans="1:4">
      <c r="A13" s="3" t="s">
        <v>228</v>
      </c>
      <c r="B13" s="13">
        <f>IF(B5&gt;0,MAX(0,MIN(100,100-B12*100)),"")</f>
        <v>50.805770960000004</v>
      </c>
    </row>
    <row r="14" spans="1:4">
      <c r="A14" s="3" t="s">
        <v>229</v>
      </c>
      <c r="B14" s="8" t="str">
        <f>IF(B12&gt;60%,"Critical: above 60%",IF(B12&gt;=50%,"Watch: 50–60%","Below prototype thresholds"))</f>
        <v>Below prototype thresholds</v>
      </c>
    </row>
    <row r="15" spans="1:4">
      <c r="A15" s="3" t="s">
        <v>230</v>
      </c>
      <c r="B15" s="8" t="str">
        <f>IF(B8&lt;7,"PARTIAL: missing prices; cost is understated","All listed food prices available")</f>
        <v>All listed food prices available</v>
      </c>
    </row>
    <row r="18" spans="1:4">
      <c r="A18" s="9" t="s">
        <v>231</v>
      </c>
      <c r="B18" s="9"/>
      <c r="C18" s="9"/>
      <c r="D18" s="9"/>
    </row>
    <row r="19" spans="1:4">
      <c r="A19" s="9"/>
      <c r="B19" s="9"/>
      <c r="C19" s="9"/>
      <c r="D19" s="9"/>
    </row>
    <row r="20" spans="1:4">
      <c r="A20" s="9"/>
      <c r="B20" s="9"/>
      <c r="C20" s="9"/>
      <c r="D20" s="9"/>
    </row>
  </sheetData>
  <mergeCells count="3">
    <mergeCell ref="A1:D1"/>
    <mergeCell ref="A2:D2"/>
    <mergeCell ref="A18:D20"/>
  </mergeCells>
  <conditionalFormatting sqref="B12">
    <cfRule type="cellIs" dxfId="0" priority="1" operator="greaterThanOrEqual">
      <formula>0.6</formula>
    </cfRule>
    <cfRule type="cellIs" dxfId="1" priority="2" operator="between">
      <formula>0.5</formula>
      <formula>0.6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A8A83"/>
  </sheetPr>
  <dimension ref="A1:N134"/>
  <sheetViews>
    <sheetView workbookViewId="0"/>
  </sheetViews>
  <sheetFormatPr defaultRowHeight="15"/>
  <cols>
    <col min="1" max="1" width="15.7109375" customWidth="1"/>
    <col min="2" max="2" width="25.7109375" customWidth="1"/>
    <col min="3" max="3" width="13.7109375" customWidth="1"/>
    <col min="4" max="5" width="22.7109375" customWidth="1"/>
    <col min="6" max="14" width="13.7109375" customWidth="1"/>
  </cols>
  <sheetData>
    <row r="1" spans="1:14">
      <c r="A1" s="4" t="s">
        <v>232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233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32" customHeight="1">
      <c r="A3" s="8" t="s">
        <v>234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38" spans="1:5">
      <c r="A38" s="3" t="s">
        <v>235</v>
      </c>
      <c r="B38" s="3" t="s">
        <v>4</v>
      </c>
      <c r="C38" s="3" t="s">
        <v>5</v>
      </c>
      <c r="D38" s="3" t="s">
        <v>236</v>
      </c>
      <c r="E38" s="3" t="s">
        <v>237</v>
      </c>
    </row>
    <row r="39" spans="1:5">
      <c r="A39" s="14">
        <v>45566</v>
      </c>
      <c r="B39" t="s">
        <v>180</v>
      </c>
      <c r="C39" t="s">
        <v>26</v>
      </c>
      <c r="D39" s="2">
        <v>76.67</v>
      </c>
      <c r="E39">
        <v>11</v>
      </c>
    </row>
    <row r="40" spans="1:5">
      <c r="A40" s="14">
        <v>45597</v>
      </c>
      <c r="B40" t="s">
        <v>180</v>
      </c>
      <c r="C40" t="s">
        <v>26</v>
      </c>
      <c r="D40" s="2">
        <v>80</v>
      </c>
      <c r="E40">
        <v>11</v>
      </c>
    </row>
    <row r="41" spans="1:5">
      <c r="A41" s="14">
        <v>45627</v>
      </c>
      <c r="B41" t="s">
        <v>180</v>
      </c>
      <c r="C41" t="s">
        <v>26</v>
      </c>
      <c r="D41" s="2">
        <v>78.85499999999999</v>
      </c>
      <c r="E41">
        <v>12</v>
      </c>
    </row>
    <row r="42" spans="1:5">
      <c r="A42" s="14">
        <v>45658</v>
      </c>
      <c r="B42" t="s">
        <v>180</v>
      </c>
      <c r="C42" t="s">
        <v>26</v>
      </c>
      <c r="D42" s="2">
        <v>81.66499999999999</v>
      </c>
      <c r="E42">
        <v>8</v>
      </c>
    </row>
    <row r="43" spans="1:5">
      <c r="A43" s="14">
        <v>45689</v>
      </c>
      <c r="B43" t="s">
        <v>180</v>
      </c>
      <c r="C43" t="s">
        <v>26</v>
      </c>
      <c r="D43" s="2">
        <v>80</v>
      </c>
      <c r="E43">
        <v>12</v>
      </c>
    </row>
    <row r="44" spans="1:5">
      <c r="A44" s="14">
        <v>45717</v>
      </c>
      <c r="B44" t="s">
        <v>180</v>
      </c>
      <c r="C44" t="s">
        <v>26</v>
      </c>
      <c r="D44" s="2">
        <v>80</v>
      </c>
      <c r="E44">
        <v>11</v>
      </c>
    </row>
    <row r="45" spans="1:5">
      <c r="A45" s="14">
        <v>45748</v>
      </c>
      <c r="B45" t="s">
        <v>180</v>
      </c>
      <c r="C45" t="s">
        <v>26</v>
      </c>
      <c r="D45" s="2">
        <v>80</v>
      </c>
      <c r="E45">
        <v>3</v>
      </c>
    </row>
    <row r="46" spans="1:5">
      <c r="A46" s="14">
        <v>45778</v>
      </c>
      <c r="B46" t="s">
        <v>180</v>
      </c>
      <c r="C46" t="s">
        <v>26</v>
      </c>
      <c r="D46" s="2">
        <v>90</v>
      </c>
      <c r="E46">
        <v>7</v>
      </c>
    </row>
    <row r="47" spans="1:5">
      <c r="A47" s="14">
        <v>45809</v>
      </c>
      <c r="B47" t="s">
        <v>180</v>
      </c>
      <c r="C47" t="s">
        <v>26</v>
      </c>
      <c r="D47" s="2">
        <v>90</v>
      </c>
      <c r="E47">
        <v>12</v>
      </c>
    </row>
    <row r="48" spans="1:5">
      <c r="A48" s="14">
        <v>45839</v>
      </c>
      <c r="B48" t="s">
        <v>180</v>
      </c>
      <c r="C48" t="s">
        <v>26</v>
      </c>
      <c r="D48" s="2">
        <v>90</v>
      </c>
      <c r="E48">
        <v>9</v>
      </c>
    </row>
    <row r="49" spans="1:5">
      <c r="A49" s="14">
        <v>45870</v>
      </c>
      <c r="B49" t="s">
        <v>180</v>
      </c>
      <c r="C49" t="s">
        <v>26</v>
      </c>
      <c r="D49" s="2">
        <v>83.33</v>
      </c>
      <c r="E49">
        <v>11</v>
      </c>
    </row>
    <row r="50" spans="1:5">
      <c r="A50" s="14">
        <v>45901</v>
      </c>
      <c r="B50" t="s">
        <v>180</v>
      </c>
      <c r="C50" t="s">
        <v>26</v>
      </c>
      <c r="D50" s="2">
        <v>83.33</v>
      </c>
      <c r="E50">
        <v>10</v>
      </c>
    </row>
    <row r="51" spans="1:5">
      <c r="A51" s="14">
        <v>45931</v>
      </c>
      <c r="B51" t="s">
        <v>180</v>
      </c>
      <c r="C51" t="s">
        <v>26</v>
      </c>
      <c r="D51" s="2">
        <v>82.91499999999999</v>
      </c>
      <c r="E51">
        <v>10</v>
      </c>
    </row>
    <row r="52" spans="1:5">
      <c r="A52" s="14">
        <v>45962</v>
      </c>
      <c r="B52" t="s">
        <v>180</v>
      </c>
      <c r="C52" t="s">
        <v>26</v>
      </c>
      <c r="D52" s="2">
        <v>81.575</v>
      </c>
      <c r="E52">
        <v>12</v>
      </c>
    </row>
    <row r="53" spans="1:5">
      <c r="A53" s="14">
        <v>45992</v>
      </c>
      <c r="B53" t="s">
        <v>180</v>
      </c>
      <c r="C53" t="s">
        <v>26</v>
      </c>
      <c r="D53" s="2">
        <v>95</v>
      </c>
      <c r="E53">
        <v>2</v>
      </c>
    </row>
    <row r="54" spans="1:5">
      <c r="A54" s="14">
        <v>46023</v>
      </c>
      <c r="B54" t="s">
        <v>180</v>
      </c>
      <c r="C54" t="s">
        <v>26</v>
      </c>
      <c r="D54" s="2">
        <v>98.40000000000001</v>
      </c>
      <c r="E54">
        <v>3</v>
      </c>
    </row>
    <row r="55" spans="1:5">
      <c r="A55" s="14">
        <v>46054</v>
      </c>
      <c r="B55" t="s">
        <v>180</v>
      </c>
      <c r="C55" t="s">
        <v>26</v>
      </c>
      <c r="D55" s="2">
        <v>96.01000000000001</v>
      </c>
      <c r="E55">
        <v>3</v>
      </c>
    </row>
    <row r="56" spans="1:5">
      <c r="A56" s="14">
        <v>46082</v>
      </c>
      <c r="B56" t="s">
        <v>180</v>
      </c>
      <c r="C56" t="s">
        <v>26</v>
      </c>
      <c r="D56" s="2">
        <v>80</v>
      </c>
      <c r="E56">
        <v>11</v>
      </c>
    </row>
    <row r="57" spans="1:5">
      <c r="A57" s="14">
        <v>46113</v>
      </c>
      <c r="B57" t="s">
        <v>180</v>
      </c>
      <c r="C57" t="s">
        <v>26</v>
      </c>
      <c r="D57" s="2">
        <v>83.33</v>
      </c>
      <c r="E57">
        <v>11</v>
      </c>
    </row>
    <row r="58" spans="1:5">
      <c r="A58" s="14">
        <v>46143</v>
      </c>
      <c r="B58" t="s">
        <v>180</v>
      </c>
      <c r="C58" t="s">
        <v>26</v>
      </c>
      <c r="D58" s="2">
        <v>97.985</v>
      </c>
      <c r="E58">
        <v>2</v>
      </c>
    </row>
    <row r="59" spans="1:5">
      <c r="A59" s="14">
        <v>46174</v>
      </c>
      <c r="B59" t="s">
        <v>180</v>
      </c>
      <c r="C59" t="s">
        <v>26</v>
      </c>
      <c r="D59" s="2">
        <v>84.375</v>
      </c>
      <c r="E59">
        <v>12</v>
      </c>
    </row>
    <row r="60" spans="1:5">
      <c r="A60" s="14">
        <v>46204</v>
      </c>
      <c r="B60" t="s">
        <v>180</v>
      </c>
      <c r="C60" t="s">
        <v>26</v>
      </c>
      <c r="D60" s="2">
        <v>84.72</v>
      </c>
      <c r="E60">
        <v>12</v>
      </c>
    </row>
    <row r="61" spans="1:5">
      <c r="A61" s="14">
        <v>46235</v>
      </c>
      <c r="B61" t="s">
        <v>180</v>
      </c>
      <c r="C61" t="s">
        <v>26</v>
      </c>
      <c r="D61" s="2">
        <v>83.78</v>
      </c>
      <c r="E61">
        <v>12</v>
      </c>
    </row>
    <row r="62" spans="1:5">
      <c r="A62" s="14">
        <v>46266</v>
      </c>
      <c r="B62" t="s">
        <v>180</v>
      </c>
      <c r="C62" t="s">
        <v>26</v>
      </c>
      <c r="D62" s="2">
        <v>85</v>
      </c>
      <c r="E62">
        <v>4</v>
      </c>
    </row>
    <row r="63" spans="1:5">
      <c r="A63" s="14">
        <v>45566</v>
      </c>
      <c r="B63" t="s">
        <v>186</v>
      </c>
      <c r="C63" t="s">
        <v>26</v>
      </c>
      <c r="D63" s="2">
        <v>130</v>
      </c>
      <c r="E63">
        <v>11</v>
      </c>
    </row>
    <row r="64" spans="1:5">
      <c r="A64" s="14">
        <v>45597</v>
      </c>
      <c r="B64" t="s">
        <v>186</v>
      </c>
      <c r="C64" t="s">
        <v>26</v>
      </c>
      <c r="D64" s="2">
        <v>147.14</v>
      </c>
      <c r="E64">
        <v>11</v>
      </c>
    </row>
    <row r="65" spans="1:5">
      <c r="A65" s="14">
        <v>45627</v>
      </c>
      <c r="B65" t="s">
        <v>186</v>
      </c>
      <c r="C65" t="s">
        <v>26</v>
      </c>
      <c r="D65" s="2">
        <v>137.5</v>
      </c>
      <c r="E65">
        <v>12</v>
      </c>
    </row>
    <row r="66" spans="1:5">
      <c r="A66" s="14">
        <v>45658</v>
      </c>
      <c r="B66" t="s">
        <v>186</v>
      </c>
      <c r="C66" t="s">
        <v>26</v>
      </c>
      <c r="D66" s="2">
        <v>126.665</v>
      </c>
      <c r="E66">
        <v>8</v>
      </c>
    </row>
    <row r="67" spans="1:5">
      <c r="A67" s="14">
        <v>45689</v>
      </c>
      <c r="B67" t="s">
        <v>186</v>
      </c>
      <c r="C67" t="s">
        <v>26</v>
      </c>
      <c r="D67" s="2">
        <v>141.665</v>
      </c>
      <c r="E67">
        <v>12</v>
      </c>
    </row>
    <row r="68" spans="1:5">
      <c r="A68" s="14">
        <v>45717</v>
      </c>
      <c r="B68" t="s">
        <v>186</v>
      </c>
      <c r="C68" t="s">
        <v>26</v>
      </c>
      <c r="D68" s="2">
        <v>150</v>
      </c>
      <c r="E68">
        <v>12</v>
      </c>
    </row>
    <row r="69" spans="1:5">
      <c r="A69" s="14">
        <v>45748</v>
      </c>
      <c r="B69" t="s">
        <v>186</v>
      </c>
      <c r="C69" t="s">
        <v>26</v>
      </c>
      <c r="D69" s="2">
        <v>137.5</v>
      </c>
      <c r="E69">
        <v>4</v>
      </c>
    </row>
    <row r="70" spans="1:5">
      <c r="A70" s="14">
        <v>45778</v>
      </c>
      <c r="B70" t="s">
        <v>186</v>
      </c>
      <c r="C70" t="s">
        <v>26</v>
      </c>
      <c r="D70" s="2">
        <v>133.73</v>
      </c>
      <c r="E70">
        <v>8</v>
      </c>
    </row>
    <row r="71" spans="1:5">
      <c r="A71" s="14">
        <v>45809</v>
      </c>
      <c r="B71" t="s">
        <v>186</v>
      </c>
      <c r="C71" t="s">
        <v>26</v>
      </c>
      <c r="D71" s="2">
        <v>145.01</v>
      </c>
      <c r="E71">
        <v>12</v>
      </c>
    </row>
    <row r="72" spans="1:5">
      <c r="A72" s="14">
        <v>45839</v>
      </c>
      <c r="B72" t="s">
        <v>186</v>
      </c>
      <c r="C72" t="s">
        <v>26</v>
      </c>
      <c r="D72" s="2">
        <v>140.965</v>
      </c>
      <c r="E72">
        <v>8</v>
      </c>
    </row>
    <row r="73" spans="1:5">
      <c r="A73" s="14">
        <v>45870</v>
      </c>
      <c r="B73" t="s">
        <v>186</v>
      </c>
      <c r="C73" t="s">
        <v>26</v>
      </c>
      <c r="D73" s="2">
        <v>100</v>
      </c>
      <c r="E73">
        <v>11</v>
      </c>
    </row>
    <row r="74" spans="1:5">
      <c r="A74" s="14">
        <v>45901</v>
      </c>
      <c r="B74" t="s">
        <v>186</v>
      </c>
      <c r="C74" t="s">
        <v>26</v>
      </c>
      <c r="D74" s="2">
        <v>127.5</v>
      </c>
      <c r="E74">
        <v>10</v>
      </c>
    </row>
    <row r="75" spans="1:5">
      <c r="A75" s="14">
        <v>45931</v>
      </c>
      <c r="B75" t="s">
        <v>186</v>
      </c>
      <c r="C75" t="s">
        <v>26</v>
      </c>
      <c r="D75" s="2">
        <v>122.065</v>
      </c>
      <c r="E75">
        <v>10</v>
      </c>
    </row>
    <row r="76" spans="1:5">
      <c r="A76" s="14">
        <v>45962</v>
      </c>
      <c r="B76" t="s">
        <v>186</v>
      </c>
      <c r="C76" t="s">
        <v>26</v>
      </c>
      <c r="D76" s="2">
        <v>121.665</v>
      </c>
      <c r="E76">
        <v>12</v>
      </c>
    </row>
    <row r="77" spans="1:5">
      <c r="A77" s="14">
        <v>45992</v>
      </c>
      <c r="B77" t="s">
        <v>186</v>
      </c>
      <c r="C77" t="s">
        <v>26</v>
      </c>
      <c r="D77" s="2">
        <v>110.715</v>
      </c>
      <c r="E77">
        <v>2</v>
      </c>
    </row>
    <row r="78" spans="1:5">
      <c r="A78" s="14">
        <v>46023</v>
      </c>
      <c r="B78" t="s">
        <v>186</v>
      </c>
      <c r="C78" t="s">
        <v>26</v>
      </c>
      <c r="D78" s="2">
        <v>114.94</v>
      </c>
      <c r="E78">
        <v>3</v>
      </c>
    </row>
    <row r="79" spans="1:5">
      <c r="A79" s="14">
        <v>46054</v>
      </c>
      <c r="B79" t="s">
        <v>186</v>
      </c>
      <c r="C79" t="s">
        <v>26</v>
      </c>
      <c r="D79" s="2">
        <v>119.16</v>
      </c>
      <c r="E79">
        <v>3</v>
      </c>
    </row>
    <row r="80" spans="1:5">
      <c r="A80" s="14">
        <v>46082</v>
      </c>
      <c r="B80" t="s">
        <v>186</v>
      </c>
      <c r="C80" t="s">
        <v>26</v>
      </c>
      <c r="D80" s="2">
        <v>125.85</v>
      </c>
      <c r="E80">
        <v>12</v>
      </c>
    </row>
    <row r="81" spans="1:5">
      <c r="A81" s="14">
        <v>46113</v>
      </c>
      <c r="B81" t="s">
        <v>186</v>
      </c>
      <c r="C81" t="s">
        <v>26</v>
      </c>
      <c r="D81" s="2">
        <v>122.5</v>
      </c>
      <c r="E81">
        <v>11</v>
      </c>
    </row>
    <row r="82" spans="1:5">
      <c r="A82" s="14">
        <v>46143</v>
      </c>
      <c r="B82" t="s">
        <v>186</v>
      </c>
      <c r="C82" t="s">
        <v>26</v>
      </c>
      <c r="D82" s="2">
        <v>123.17</v>
      </c>
      <c r="E82">
        <v>3</v>
      </c>
    </row>
    <row r="83" spans="1:5">
      <c r="A83" s="14">
        <v>46174</v>
      </c>
      <c r="B83" t="s">
        <v>186</v>
      </c>
      <c r="C83" t="s">
        <v>26</v>
      </c>
      <c r="D83" s="2">
        <v>128.89</v>
      </c>
      <c r="E83">
        <v>11</v>
      </c>
    </row>
    <row r="84" spans="1:5">
      <c r="A84" s="14">
        <v>46204</v>
      </c>
      <c r="B84" t="s">
        <v>186</v>
      </c>
      <c r="C84" t="s">
        <v>26</v>
      </c>
      <c r="D84" s="2">
        <v>118.335</v>
      </c>
      <c r="E84">
        <v>12</v>
      </c>
    </row>
    <row r="85" spans="1:5">
      <c r="A85" s="14">
        <v>46235</v>
      </c>
      <c r="B85" t="s">
        <v>186</v>
      </c>
      <c r="C85" t="s">
        <v>26</v>
      </c>
      <c r="D85" s="2">
        <v>120</v>
      </c>
      <c r="E85">
        <v>12</v>
      </c>
    </row>
    <row r="86" spans="1:5">
      <c r="A86" s="14">
        <v>46266</v>
      </c>
      <c r="B86" t="s">
        <v>186</v>
      </c>
      <c r="C86" t="s">
        <v>26</v>
      </c>
      <c r="D86" s="2">
        <v>129.165</v>
      </c>
      <c r="E86">
        <v>4</v>
      </c>
    </row>
    <row r="87" spans="1:5">
      <c r="A87" s="14">
        <v>45566</v>
      </c>
      <c r="B87" t="s">
        <v>182</v>
      </c>
      <c r="C87" t="s">
        <v>26</v>
      </c>
      <c r="D87" s="2">
        <v>72.80000000000001</v>
      </c>
      <c r="E87">
        <v>8</v>
      </c>
    </row>
    <row r="88" spans="1:5">
      <c r="A88" s="14">
        <v>45597</v>
      </c>
      <c r="B88" t="s">
        <v>182</v>
      </c>
      <c r="C88" t="s">
        <v>26</v>
      </c>
      <c r="D88" s="2">
        <v>78.125</v>
      </c>
      <c r="E88">
        <v>10</v>
      </c>
    </row>
    <row r="89" spans="1:5">
      <c r="A89" s="14">
        <v>45627</v>
      </c>
      <c r="B89" t="s">
        <v>182</v>
      </c>
      <c r="C89" t="s">
        <v>26</v>
      </c>
      <c r="D89" s="2">
        <v>80</v>
      </c>
      <c r="E89">
        <v>12</v>
      </c>
    </row>
    <row r="90" spans="1:5">
      <c r="A90" s="14">
        <v>45658</v>
      </c>
      <c r="B90" t="s">
        <v>182</v>
      </c>
      <c r="C90" t="s">
        <v>26</v>
      </c>
      <c r="D90" s="2">
        <v>69.58500000000001</v>
      </c>
      <c r="E90">
        <v>6</v>
      </c>
    </row>
    <row r="91" spans="1:5">
      <c r="A91" s="14">
        <v>45689</v>
      </c>
      <c r="B91" t="s">
        <v>182</v>
      </c>
      <c r="C91" t="s">
        <v>26</v>
      </c>
      <c r="D91" s="2">
        <v>75.83500000000001</v>
      </c>
      <c r="E91">
        <v>12</v>
      </c>
    </row>
    <row r="92" spans="1:5">
      <c r="A92" s="14">
        <v>45717</v>
      </c>
      <c r="B92" t="s">
        <v>182</v>
      </c>
      <c r="C92" t="s">
        <v>26</v>
      </c>
      <c r="D92" s="2">
        <v>80</v>
      </c>
      <c r="E92">
        <v>11</v>
      </c>
    </row>
    <row r="93" spans="1:5">
      <c r="A93" s="14">
        <v>45748</v>
      </c>
      <c r="B93" t="s">
        <v>182</v>
      </c>
      <c r="C93" t="s">
        <v>26</v>
      </c>
      <c r="D93" s="2">
        <v>84.58</v>
      </c>
      <c r="E93">
        <v>3</v>
      </c>
    </row>
    <row r="94" spans="1:5">
      <c r="A94" s="14">
        <v>45778</v>
      </c>
      <c r="B94" t="s">
        <v>182</v>
      </c>
      <c r="C94" t="s">
        <v>26</v>
      </c>
      <c r="D94" s="2">
        <v>76.48500000000001</v>
      </c>
      <c r="E94">
        <v>8</v>
      </c>
    </row>
    <row r="95" spans="1:5">
      <c r="A95" s="14">
        <v>45809</v>
      </c>
      <c r="B95" t="s">
        <v>182</v>
      </c>
      <c r="C95" t="s">
        <v>26</v>
      </c>
      <c r="D95" s="2">
        <v>65.83500000000001</v>
      </c>
      <c r="E95">
        <v>12</v>
      </c>
    </row>
    <row r="96" spans="1:5">
      <c r="A96" s="14">
        <v>45839</v>
      </c>
      <c r="B96" t="s">
        <v>182</v>
      </c>
      <c r="C96" t="s">
        <v>26</v>
      </c>
      <c r="D96" s="2">
        <v>55.9</v>
      </c>
      <c r="E96">
        <v>9</v>
      </c>
    </row>
    <row r="97" spans="1:5">
      <c r="A97" s="14">
        <v>45870</v>
      </c>
      <c r="B97" t="s">
        <v>182</v>
      </c>
      <c r="C97" t="s">
        <v>26</v>
      </c>
      <c r="D97" s="2">
        <v>50</v>
      </c>
      <c r="E97">
        <v>7</v>
      </c>
    </row>
    <row r="98" spans="1:5">
      <c r="A98" s="14">
        <v>45901</v>
      </c>
      <c r="B98" t="s">
        <v>182</v>
      </c>
      <c r="C98" t="s">
        <v>26</v>
      </c>
      <c r="D98" s="2">
        <v>60</v>
      </c>
      <c r="E98">
        <v>8</v>
      </c>
    </row>
    <row r="99" spans="1:5">
      <c r="A99" s="14">
        <v>45931</v>
      </c>
      <c r="B99" t="s">
        <v>182</v>
      </c>
      <c r="C99" t="s">
        <v>26</v>
      </c>
      <c r="D99" s="2">
        <v>71</v>
      </c>
      <c r="E99">
        <v>10</v>
      </c>
    </row>
    <row r="100" spans="1:5">
      <c r="A100" s="14">
        <v>45962</v>
      </c>
      <c r="B100" t="s">
        <v>182</v>
      </c>
      <c r="C100" t="s">
        <v>26</v>
      </c>
      <c r="D100" s="2">
        <v>77.78</v>
      </c>
      <c r="E100">
        <v>11</v>
      </c>
    </row>
    <row r="101" spans="1:5">
      <c r="A101" s="14">
        <v>45992</v>
      </c>
      <c r="B101" t="s">
        <v>182</v>
      </c>
      <c r="C101" t="s">
        <v>26</v>
      </c>
      <c r="D101" s="2">
        <v>60</v>
      </c>
      <c r="E101">
        <v>1</v>
      </c>
    </row>
    <row r="102" spans="1:5">
      <c r="A102" s="14">
        <v>46023</v>
      </c>
      <c r="B102" t="s">
        <v>182</v>
      </c>
      <c r="C102" t="s">
        <v>26</v>
      </c>
      <c r="D102" s="2">
        <v>64.12</v>
      </c>
      <c r="E102">
        <v>3</v>
      </c>
    </row>
    <row r="103" spans="1:5">
      <c r="A103" s="14">
        <v>46054</v>
      </c>
      <c r="B103" t="s">
        <v>182</v>
      </c>
      <c r="C103" t="s">
        <v>26</v>
      </c>
      <c r="D103" s="2">
        <v>71.06999999999999</v>
      </c>
      <c r="E103">
        <v>3</v>
      </c>
    </row>
    <row r="104" spans="1:5">
      <c r="A104" s="14">
        <v>46082</v>
      </c>
      <c r="B104" t="s">
        <v>182</v>
      </c>
      <c r="C104" t="s">
        <v>26</v>
      </c>
      <c r="D104" s="2">
        <v>85</v>
      </c>
      <c r="E104">
        <v>11</v>
      </c>
    </row>
    <row r="105" spans="1:5">
      <c r="A105" s="14">
        <v>46113</v>
      </c>
      <c r="B105" t="s">
        <v>182</v>
      </c>
      <c r="C105" t="s">
        <v>26</v>
      </c>
      <c r="D105" s="2">
        <v>96.66499999999999</v>
      </c>
      <c r="E105">
        <v>6</v>
      </c>
    </row>
    <row r="106" spans="1:5">
      <c r="A106" s="14">
        <v>46143</v>
      </c>
      <c r="B106" t="s">
        <v>182</v>
      </c>
      <c r="C106" t="s">
        <v>26</v>
      </c>
      <c r="D106" s="2">
        <v>80.5</v>
      </c>
      <c r="E106">
        <v>3</v>
      </c>
    </row>
    <row r="107" spans="1:5">
      <c r="A107" s="14">
        <v>46174</v>
      </c>
      <c r="B107" t="s">
        <v>182</v>
      </c>
      <c r="C107" t="s">
        <v>26</v>
      </c>
      <c r="D107" s="2">
        <v>68.75</v>
      </c>
      <c r="E107">
        <v>5</v>
      </c>
    </row>
    <row r="108" spans="1:5">
      <c r="A108" s="14">
        <v>46204</v>
      </c>
      <c r="B108" t="s">
        <v>182</v>
      </c>
      <c r="C108" t="s">
        <v>26</v>
      </c>
      <c r="D108" s="2">
        <v>80</v>
      </c>
      <c r="E108">
        <v>10</v>
      </c>
    </row>
    <row r="109" spans="1:5">
      <c r="A109" s="14">
        <v>46235</v>
      </c>
      <c r="B109" t="s">
        <v>182</v>
      </c>
      <c r="C109" t="s">
        <v>26</v>
      </c>
      <c r="D109" s="2">
        <v>86.67</v>
      </c>
      <c r="E109">
        <v>11</v>
      </c>
    </row>
    <row r="110" spans="1:5">
      <c r="A110" s="14">
        <v>46266</v>
      </c>
      <c r="B110" t="s">
        <v>182</v>
      </c>
      <c r="C110" t="s">
        <v>26</v>
      </c>
      <c r="D110" s="2">
        <v>100</v>
      </c>
      <c r="E110">
        <v>3</v>
      </c>
    </row>
    <row r="111" spans="1:5">
      <c r="A111" s="14">
        <v>45566</v>
      </c>
      <c r="B111" t="s">
        <v>183</v>
      </c>
      <c r="C111" t="s">
        <v>26</v>
      </c>
      <c r="D111" s="2">
        <v>120</v>
      </c>
      <c r="E111">
        <v>11</v>
      </c>
    </row>
    <row r="112" spans="1:5">
      <c r="A112" s="14">
        <v>45597</v>
      </c>
      <c r="B112" t="s">
        <v>183</v>
      </c>
      <c r="C112" t="s">
        <v>26</v>
      </c>
      <c r="D112" s="2">
        <v>143.33</v>
      </c>
      <c r="E112">
        <v>11</v>
      </c>
    </row>
    <row r="113" spans="1:5">
      <c r="A113" s="14">
        <v>45627</v>
      </c>
      <c r="B113" t="s">
        <v>183</v>
      </c>
      <c r="C113" t="s">
        <v>26</v>
      </c>
      <c r="D113" s="2">
        <v>115.835</v>
      </c>
      <c r="E113">
        <v>12</v>
      </c>
    </row>
    <row r="114" spans="1:5">
      <c r="A114" s="14">
        <v>45658</v>
      </c>
      <c r="B114" t="s">
        <v>183</v>
      </c>
      <c r="C114" t="s">
        <v>26</v>
      </c>
      <c r="D114" s="2">
        <v>117.31</v>
      </c>
      <c r="E114">
        <v>8</v>
      </c>
    </row>
    <row r="115" spans="1:5">
      <c r="A115" s="14">
        <v>45689</v>
      </c>
      <c r="B115" t="s">
        <v>183</v>
      </c>
      <c r="C115" t="s">
        <v>26</v>
      </c>
      <c r="D115" s="2">
        <v>129.165</v>
      </c>
      <c r="E115">
        <v>12</v>
      </c>
    </row>
    <row r="116" spans="1:5">
      <c r="A116" s="14">
        <v>45717</v>
      </c>
      <c r="B116" t="s">
        <v>183</v>
      </c>
      <c r="C116" t="s">
        <v>26</v>
      </c>
      <c r="D116" s="2">
        <v>126.25</v>
      </c>
      <c r="E116">
        <v>12</v>
      </c>
    </row>
    <row r="117" spans="1:5">
      <c r="A117" s="14">
        <v>45748</v>
      </c>
      <c r="B117" t="s">
        <v>183</v>
      </c>
      <c r="C117" t="s">
        <v>26</v>
      </c>
      <c r="D117" s="2">
        <v>143.335</v>
      </c>
      <c r="E117">
        <v>4</v>
      </c>
    </row>
    <row r="118" spans="1:5">
      <c r="A118" s="14">
        <v>45778</v>
      </c>
      <c r="B118" t="s">
        <v>183</v>
      </c>
      <c r="C118" t="s">
        <v>26</v>
      </c>
      <c r="D118" s="2">
        <v>132.17</v>
      </c>
      <c r="E118">
        <v>8</v>
      </c>
    </row>
    <row r="119" spans="1:5">
      <c r="A119" s="14">
        <v>45809</v>
      </c>
      <c r="B119" t="s">
        <v>183</v>
      </c>
      <c r="C119" t="s">
        <v>26</v>
      </c>
      <c r="D119" s="2">
        <v>132.5</v>
      </c>
      <c r="E119">
        <v>12</v>
      </c>
    </row>
    <row r="120" spans="1:5">
      <c r="A120" s="14">
        <v>45839</v>
      </c>
      <c r="B120" t="s">
        <v>183</v>
      </c>
      <c r="C120" t="s">
        <v>26</v>
      </c>
      <c r="D120" s="2">
        <v>128</v>
      </c>
      <c r="E120">
        <v>9</v>
      </c>
    </row>
    <row r="121" spans="1:5">
      <c r="A121" s="14">
        <v>45870</v>
      </c>
      <c r="B121" t="s">
        <v>183</v>
      </c>
      <c r="C121" t="s">
        <v>26</v>
      </c>
      <c r="D121" s="2">
        <v>110</v>
      </c>
      <c r="E121">
        <v>11</v>
      </c>
    </row>
    <row r="122" spans="1:5">
      <c r="A122" s="14">
        <v>45901</v>
      </c>
      <c r="B122" t="s">
        <v>183</v>
      </c>
      <c r="C122" t="s">
        <v>26</v>
      </c>
      <c r="D122" s="2">
        <v>109.97</v>
      </c>
      <c r="E122">
        <v>10</v>
      </c>
    </row>
    <row r="123" spans="1:5">
      <c r="A123" s="14">
        <v>45931</v>
      </c>
      <c r="B123" t="s">
        <v>183</v>
      </c>
      <c r="C123" t="s">
        <v>26</v>
      </c>
      <c r="D123" s="2">
        <v>110.11</v>
      </c>
      <c r="E123">
        <v>10</v>
      </c>
    </row>
    <row r="124" spans="1:5">
      <c r="A124" s="14">
        <v>45962</v>
      </c>
      <c r="B124" t="s">
        <v>183</v>
      </c>
      <c r="C124" t="s">
        <v>26</v>
      </c>
      <c r="D124" s="2">
        <v>114.4</v>
      </c>
      <c r="E124">
        <v>12</v>
      </c>
    </row>
    <row r="125" spans="1:5">
      <c r="A125" s="14">
        <v>45992</v>
      </c>
      <c r="B125" t="s">
        <v>183</v>
      </c>
      <c r="C125" t="s">
        <v>26</v>
      </c>
      <c r="D125" s="2">
        <v>108.57</v>
      </c>
      <c r="E125">
        <v>2</v>
      </c>
    </row>
    <row r="126" spans="1:5">
      <c r="A126" s="14">
        <v>46023</v>
      </c>
      <c r="B126" t="s">
        <v>183</v>
      </c>
      <c r="C126" t="s">
        <v>26</v>
      </c>
      <c r="D126" s="2">
        <v>111.52</v>
      </c>
      <c r="E126">
        <v>3</v>
      </c>
    </row>
    <row r="127" spans="1:5">
      <c r="A127" s="14">
        <v>46054</v>
      </c>
      <c r="B127" t="s">
        <v>183</v>
      </c>
      <c r="C127" t="s">
        <v>26</v>
      </c>
      <c r="D127" s="2">
        <v>111.28</v>
      </c>
      <c r="E127">
        <v>3</v>
      </c>
    </row>
    <row r="128" spans="1:5">
      <c r="A128" s="14">
        <v>46082</v>
      </c>
      <c r="B128" t="s">
        <v>183</v>
      </c>
      <c r="C128" t="s">
        <v>26</v>
      </c>
      <c r="D128" s="2">
        <v>115.4</v>
      </c>
      <c r="E128">
        <v>12</v>
      </c>
    </row>
    <row r="129" spans="1:5">
      <c r="A129" s="14">
        <v>46113</v>
      </c>
      <c r="B129" t="s">
        <v>183</v>
      </c>
      <c r="C129" t="s">
        <v>26</v>
      </c>
      <c r="D129" s="2">
        <v>125</v>
      </c>
      <c r="E129">
        <v>11</v>
      </c>
    </row>
    <row r="130" spans="1:5">
      <c r="A130" s="14">
        <v>46143</v>
      </c>
      <c r="B130" t="s">
        <v>183</v>
      </c>
      <c r="C130" t="s">
        <v>26</v>
      </c>
      <c r="D130" s="2">
        <v>117.19</v>
      </c>
      <c r="E130">
        <v>3</v>
      </c>
    </row>
    <row r="131" spans="1:5">
      <c r="A131" s="14">
        <v>46174</v>
      </c>
      <c r="B131" t="s">
        <v>183</v>
      </c>
      <c r="C131" t="s">
        <v>26</v>
      </c>
      <c r="D131" s="2">
        <v>129.82</v>
      </c>
      <c r="E131">
        <v>12</v>
      </c>
    </row>
    <row r="132" spans="1:5">
      <c r="A132" s="14">
        <v>46204</v>
      </c>
      <c r="B132" t="s">
        <v>183</v>
      </c>
      <c r="C132" t="s">
        <v>26</v>
      </c>
      <c r="D132" s="2">
        <v>118.865</v>
      </c>
      <c r="E132">
        <v>12</v>
      </c>
    </row>
    <row r="133" spans="1:5">
      <c r="A133" s="14">
        <v>46235</v>
      </c>
      <c r="B133" t="s">
        <v>183</v>
      </c>
      <c r="C133" t="s">
        <v>26</v>
      </c>
      <c r="D133" s="2">
        <v>119.12</v>
      </c>
      <c r="E133">
        <v>12</v>
      </c>
    </row>
    <row r="134" spans="1:5">
      <c r="A134" s="14">
        <v>46266</v>
      </c>
      <c r="B134" t="s">
        <v>183</v>
      </c>
      <c r="C134" t="s">
        <v>26</v>
      </c>
      <c r="D134" s="2">
        <v>125</v>
      </c>
      <c r="E134">
        <v>4</v>
      </c>
    </row>
  </sheetData>
  <mergeCells count="3">
    <mergeCell ref="A1:N1"/>
    <mergeCell ref="A2:N2"/>
    <mergeCell ref="A3:N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30.7109375" customWidth="1"/>
    <col min="2" max="6" width="24.7109375" customWidth="1"/>
  </cols>
  <sheetData>
    <row r="1" spans="1:6">
      <c r="A1" s="4" t="s">
        <v>238</v>
      </c>
      <c r="B1" s="4"/>
      <c r="C1" s="4"/>
      <c r="D1" s="4"/>
      <c r="E1" s="4"/>
      <c r="F1" s="4"/>
    </row>
    <row r="3" spans="1:6">
      <c r="A3" s="6" t="s">
        <v>239</v>
      </c>
    </row>
    <row r="4" spans="1:6">
      <c r="A4" s="9" t="s">
        <v>240</v>
      </c>
      <c r="B4" s="9"/>
      <c r="C4" s="9"/>
      <c r="D4" s="9"/>
      <c r="E4" s="9"/>
      <c r="F4" s="9"/>
    </row>
    <row r="5" spans="1:6">
      <c r="A5" s="9"/>
      <c r="B5" s="9"/>
      <c r="C5" s="9"/>
      <c r="D5" s="9"/>
      <c r="E5" s="9"/>
      <c r="F5" s="9"/>
    </row>
    <row r="7" spans="1:6">
      <c r="A7" s="15" t="s">
        <v>241</v>
      </c>
    </row>
    <row r="8" spans="1:6">
      <c r="A8" s="15" t="s">
        <v>242</v>
      </c>
    </row>
    <row r="10" spans="1:6">
      <c r="A10" s="6" t="s">
        <v>243</v>
      </c>
    </row>
    <row r="11" spans="1:6">
      <c r="A11" s="9" t="s">
        <v>244</v>
      </c>
      <c r="B11" s="9"/>
      <c r="C11" s="9"/>
      <c r="D11" s="9"/>
      <c r="E11" s="9"/>
      <c r="F11" s="9"/>
    </row>
    <row r="12" spans="1:6">
      <c r="A12" s="9"/>
      <c r="B12" s="9"/>
      <c r="C12" s="9"/>
      <c r="D12" s="9"/>
      <c r="E12" s="9"/>
      <c r="F12" s="9"/>
    </row>
    <row r="13" spans="1:6">
      <c r="A13" s="9"/>
      <c r="B13" s="9"/>
      <c r="C13" s="9"/>
      <c r="D13" s="9"/>
      <c r="E13" s="9"/>
      <c r="F13" s="9"/>
    </row>
    <row r="15" spans="1:6">
      <c r="A15" s="6" t="s">
        <v>245</v>
      </c>
    </row>
    <row r="16" spans="1:6">
      <c r="A16" s="9" t="s">
        <v>246</v>
      </c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3" spans="1:6">
      <c r="A23" s="6" t="s">
        <v>247</v>
      </c>
    </row>
    <row r="24" spans="1:6">
      <c r="A24" s="9" t="s">
        <v>248</v>
      </c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</sheetData>
  <mergeCells count="5">
    <mergeCell ref="A1:F1"/>
    <mergeCell ref="A4:F5"/>
    <mergeCell ref="A11:F13"/>
    <mergeCell ref="A16:F21"/>
    <mergeCell ref="A24:F26"/>
  </mergeCells>
  <hyperlinks>
    <hyperlink ref="A7" r:id="rId1"/>
    <hyperlink ref="A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WFP Raw Prices</vt:lpstr>
      <vt:lpstr>Market Price Snapshot</vt:lpstr>
      <vt:lpstr>Healthy Basket</vt:lpstr>
      <vt:lpstr>Household Simulator</vt:lpstr>
      <vt:lpstr>Dashboard &amp; Charts</vt:lpstr>
      <vt:lpstr>Read Me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FOODWISE Tonight — price and household pressure prototype</dc:title>
  <dc:subject>Kenya WFP food prices and editable basket scenario</dc:subject>
  <dc:creator>FOODWISE</dc:creator>
  <dc:description>Prototype; see Read Me &amp; Notes for scope and limitations.</dc:description>
  <cp:lastModifiedBy>FOODWISE</cp:lastModifiedBy>
  <dcterms:created xsi:type="dcterms:W3CDTF">2026-10-08T19:20:25Z</dcterms:created>
  <dcterms:modified xsi:type="dcterms:W3CDTF">2026-10-08T19:20:25Z</dcterms:modified>
</cp:coreProperties>
</file>